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F16C981937334A/Documents/"/>
    </mc:Choice>
  </mc:AlternateContent>
  <xr:revisionPtr revIDLastSave="702" documentId="8_{F3D864A9-3E35-4706-ABCD-31E4EBC7D3F8}" xr6:coauthVersionLast="47" xr6:coauthVersionMax="47" xr10:uidLastSave="{738BF89E-32D0-408B-8945-E28C73204526}"/>
  <bookViews>
    <workbookView xWindow="-105" yWindow="0" windowWidth="14610" windowHeight="15585" firstSheet="12" activeTab="14" xr2:uid="{8EDD0788-7A21-4559-853F-04D92EF877FC}"/>
  </bookViews>
  <sheets>
    <sheet name="Cell Refrence-Data " sheetId="1" r:id="rId1"/>
    <sheet name="Cell Reference" sheetId="2" r:id="rId2"/>
    <sheet name="If Fomula &amp; Nested If" sheetId="3" r:id="rId3"/>
    <sheet name="If&amp;And,Or" sheetId="4" r:id="rId4"/>
    <sheet name="IFS(count,sum,avg)" sheetId="5" r:id="rId5"/>
    <sheet name="Vloolup" sheetId="6" r:id="rId6"/>
    <sheet name="Index&amp;Match" sheetId="7" r:id="rId7"/>
    <sheet name="Text Function" sheetId="9" r:id="rId8"/>
    <sheet name="Xlookup Function " sheetId="10" r:id="rId9"/>
    <sheet name="Xmatch" sheetId="11" r:id="rId10"/>
    <sheet name="Indirect Function " sheetId="12" r:id="rId11"/>
    <sheet name="Offset Function" sheetId="13" r:id="rId12"/>
    <sheet name="Date and Time Function" sheetId="14" r:id="rId13"/>
    <sheet name="Math Function" sheetId="15" r:id="rId14"/>
    <sheet name="Sheet3" sheetId="1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6" l="1" a="1"/>
  <c r="E2" i="16" s="1"/>
  <c r="G12" i="15"/>
  <c r="G13" i="15"/>
  <c r="G14" i="15"/>
  <c r="G15" i="15"/>
  <c r="D12" i="15"/>
  <c r="D13" i="15"/>
  <c r="D14" i="15"/>
  <c r="D15" i="15"/>
  <c r="A12" i="15"/>
  <c r="A13" i="15"/>
  <c r="A14" i="15"/>
  <c r="A15" i="15"/>
  <c r="G11" i="15"/>
  <c r="D11" i="15"/>
  <c r="A11" i="15"/>
  <c r="C2" i="14"/>
  <c r="E2" i="14"/>
  <c r="E3" i="14"/>
  <c r="E4" i="14"/>
  <c r="E5" i="14"/>
  <c r="D3" i="14"/>
  <c r="D4" i="14"/>
  <c r="D5" i="14"/>
  <c r="D2" i="14"/>
  <c r="C3" i="14"/>
  <c r="C4" i="14"/>
  <c r="C5" i="14"/>
  <c r="C2" i="13"/>
  <c r="C16" i="10" a="1"/>
  <c r="C16" i="10" s="1"/>
  <c r="C16" i="11"/>
  <c r="F16" i="10"/>
  <c r="C2" i="9"/>
  <c r="E2" i="9"/>
  <c r="D2" i="9"/>
  <c r="B2" i="9"/>
  <c r="L4" i="7"/>
  <c r="E4" i="7"/>
  <c r="C4" i="6"/>
  <c r="J5" i="6"/>
  <c r="J6" i="6"/>
  <c r="J4" i="6"/>
  <c r="E5" i="5"/>
  <c r="C16" i="5"/>
  <c r="K5" i="5"/>
  <c r="J5" i="5"/>
  <c r="I7" i="4"/>
  <c r="I8" i="4"/>
  <c r="I9" i="4"/>
  <c r="I6" i="4"/>
  <c r="D6" i="4"/>
  <c r="D7" i="4"/>
  <c r="D8" i="4"/>
  <c r="D9" i="4"/>
  <c r="D20" i="3"/>
  <c r="D21" i="3"/>
  <c r="D19" i="3"/>
  <c r="G5" i="3"/>
  <c r="G6" i="3"/>
  <c r="G7" i="3"/>
  <c r="G8" i="3"/>
  <c r="G4" i="3"/>
  <c r="C5" i="3"/>
  <c r="C6" i="3"/>
  <c r="C7" i="3"/>
  <c r="C8" i="3"/>
  <c r="C4" i="3"/>
  <c r="C22" i="1"/>
  <c r="K7" i="2"/>
  <c r="K8" i="2"/>
  <c r="K9" i="2"/>
  <c r="K10" i="2"/>
  <c r="K6" i="2"/>
  <c r="E7" i="2"/>
  <c r="E8" i="2"/>
  <c r="E9" i="2"/>
  <c r="E10" i="2"/>
  <c r="E6" i="2"/>
  <c r="H24" i="1"/>
  <c r="H25" i="1"/>
  <c r="H26" i="1"/>
  <c r="H27" i="1"/>
  <c r="H23" i="1"/>
  <c r="M16" i="1"/>
  <c r="H13" i="1"/>
  <c r="H16" i="1"/>
  <c r="H15" i="1"/>
  <c r="H14" i="1"/>
  <c r="C9" i="1"/>
  <c r="C10" i="1"/>
  <c r="C11" i="1"/>
  <c r="C12" i="1"/>
  <c r="C13" i="1"/>
  <c r="C14" i="1"/>
  <c r="C15" i="1"/>
  <c r="C16" i="1"/>
  <c r="C17" i="1"/>
  <c r="C8" i="1"/>
  <c r="B7" i="1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<sst xmlns="http://schemas.openxmlformats.org/spreadsheetml/2006/main" count="317" uniqueCount="153">
  <si>
    <t>Name</t>
  </si>
  <si>
    <t>Product</t>
  </si>
  <si>
    <t>Rahul</t>
  </si>
  <si>
    <t>Karan</t>
  </si>
  <si>
    <t>Priya</t>
  </si>
  <si>
    <t>Price</t>
  </si>
  <si>
    <t>Total</t>
  </si>
  <si>
    <t>maths</t>
  </si>
  <si>
    <t>Hindi</t>
  </si>
  <si>
    <t>Luci</t>
  </si>
  <si>
    <t>Angle</t>
  </si>
  <si>
    <t>perposta</t>
  </si>
  <si>
    <t>Nandu</t>
  </si>
  <si>
    <t>Mixed Cell Refrence</t>
  </si>
  <si>
    <t>Relative Cell Refrence</t>
  </si>
  <si>
    <t>Absolute Cell Refrence</t>
  </si>
  <si>
    <t>Discount %</t>
  </si>
  <si>
    <t>Seller Commission %</t>
  </si>
  <si>
    <t>Final Price</t>
  </si>
  <si>
    <t>iPhone 15</t>
  </si>
  <si>
    <t>Samsung S23</t>
  </si>
  <si>
    <t>Realme 12</t>
  </si>
  <si>
    <t>Redmi Note 13</t>
  </si>
  <si>
    <t>OnePlus 12</t>
  </si>
  <si>
    <t>GST  RATE</t>
  </si>
  <si>
    <t xml:space="preserve">FINAL AMT </t>
  </si>
  <si>
    <t xml:space="preserve">Absolute cell refrence </t>
  </si>
  <si>
    <t>GST %</t>
  </si>
  <si>
    <t>Absolute Cell Reference</t>
  </si>
  <si>
    <t>Relative Cell Reference</t>
  </si>
  <si>
    <t>Discount Amount</t>
  </si>
  <si>
    <t>Student Name</t>
  </si>
  <si>
    <t>Score</t>
  </si>
  <si>
    <t>Grade</t>
  </si>
  <si>
    <t>Simran</t>
  </si>
  <si>
    <t>Anika</t>
  </si>
  <si>
    <t>If for Grade</t>
  </si>
  <si>
    <t>Nested If for Grades</t>
  </si>
  <si>
    <t>Part 2: Compute Discounts Based on Price Thresholds</t>
  </si>
  <si>
    <t>Student</t>
  </si>
  <si>
    <t>Math</t>
  </si>
  <si>
    <t>Science</t>
  </si>
  <si>
    <t>Result</t>
  </si>
  <si>
    <t xml:space="preserve">Using If &amp; And </t>
  </si>
  <si>
    <t xml:space="preserve">Using If &amp; Or </t>
  </si>
  <si>
    <t>Stock</t>
  </si>
  <si>
    <t>Discount Eligible?</t>
  </si>
  <si>
    <t>MacBook Air</t>
  </si>
  <si>
    <t>English</t>
  </si>
  <si>
    <t>Neha</t>
  </si>
  <si>
    <t>Countif</t>
  </si>
  <si>
    <t>Region</t>
  </si>
  <si>
    <t>Sales</t>
  </si>
  <si>
    <t>North</t>
  </si>
  <si>
    <t>TV</t>
  </si>
  <si>
    <t>South</t>
  </si>
  <si>
    <t>Laptop</t>
  </si>
  <si>
    <t>East</t>
  </si>
  <si>
    <t>Mobile</t>
  </si>
  <si>
    <t>Sumif</t>
  </si>
  <si>
    <t>sumifs</t>
  </si>
  <si>
    <t>CountIf</t>
  </si>
  <si>
    <t>Sumif &amp; Sumifs</t>
  </si>
  <si>
    <t>Average IFS</t>
  </si>
  <si>
    <t>Total Marks</t>
  </si>
  <si>
    <t>AvgIfs</t>
  </si>
  <si>
    <t>Student ID</t>
  </si>
  <si>
    <t>Vlookup</t>
  </si>
  <si>
    <t>Product Code</t>
  </si>
  <si>
    <t>Product Name</t>
  </si>
  <si>
    <t>P101</t>
  </si>
  <si>
    <t>P102</t>
  </si>
  <si>
    <t>P103</t>
  </si>
  <si>
    <t xml:space="preserve">Student Name BASED on ID </t>
  </si>
  <si>
    <t>Product Based on Product Code</t>
  </si>
  <si>
    <t>Salesperson</t>
  </si>
  <si>
    <t>Jan</t>
  </si>
  <si>
    <t>Feb</t>
  </si>
  <si>
    <t>Mar</t>
  </si>
  <si>
    <t>Finding Sales based On Name="Simran"</t>
  </si>
  <si>
    <t>Match&amp;Index</t>
  </si>
  <si>
    <t>Mike</t>
  </si>
  <si>
    <t>Employee</t>
  </si>
  <si>
    <t>Department</t>
  </si>
  <si>
    <t>City</t>
  </si>
  <si>
    <t>Salary</t>
  </si>
  <si>
    <t>Join Date</t>
  </si>
  <si>
    <t>Mumbai</t>
  </si>
  <si>
    <t>HR</t>
  </si>
  <si>
    <t>Delhi</t>
  </si>
  <si>
    <t>Tech</t>
  </si>
  <si>
    <t>Pune</t>
  </si>
  <si>
    <t>Marketing</t>
  </si>
  <si>
    <t>Chennai</t>
  </si>
  <si>
    <t>Finding salary from name</t>
  </si>
  <si>
    <t>A (Full Name)</t>
  </si>
  <si>
    <t>Rahul Sharma</t>
  </si>
  <si>
    <t>using left</t>
  </si>
  <si>
    <t xml:space="preserve">using left and fine </t>
  </si>
  <si>
    <t>uppercase</t>
  </si>
  <si>
    <t>lowercase</t>
  </si>
  <si>
    <t>West</t>
  </si>
  <si>
    <t>Sales ID</t>
  </si>
  <si>
    <t>Keyboard</t>
  </si>
  <si>
    <t>Mouse</t>
  </si>
  <si>
    <t>Monitor</t>
  </si>
  <si>
    <t>Sales Amount</t>
  </si>
  <si>
    <t>Month</t>
  </si>
  <si>
    <t>Alice</t>
  </si>
  <si>
    <t>Bob</t>
  </si>
  <si>
    <t>Charlie</t>
  </si>
  <si>
    <t>Diana</t>
  </si>
  <si>
    <t xml:space="preserve">Search Engine </t>
  </si>
  <si>
    <t xml:space="preserve">Salary </t>
  </si>
  <si>
    <t xml:space="preserve">Sales Id </t>
  </si>
  <si>
    <t xml:space="preserve">Finding Salary </t>
  </si>
  <si>
    <t>position</t>
  </si>
  <si>
    <t>product</t>
  </si>
  <si>
    <t>Search Engine</t>
  </si>
  <si>
    <t>keyboard</t>
  </si>
  <si>
    <t>C2</t>
  </si>
  <si>
    <t>C4</t>
  </si>
  <si>
    <t>Dyanamically Refrence a Cell Using Indirect</t>
  </si>
  <si>
    <t>Apr</t>
  </si>
  <si>
    <t>May</t>
  </si>
  <si>
    <t>Jun</t>
  </si>
  <si>
    <t>FORMULA</t>
  </si>
  <si>
    <t>july</t>
  </si>
  <si>
    <t>DOB</t>
  </si>
  <si>
    <t>12TH PASS YEAR</t>
  </si>
  <si>
    <t>Meet</t>
  </si>
  <si>
    <t>Jansen</t>
  </si>
  <si>
    <t>Elon</t>
  </si>
  <si>
    <t>Baz</t>
  </si>
  <si>
    <t>calulate age from date of birth</t>
  </si>
  <si>
    <t xml:space="preserve">Diffrence between two dates </t>
  </si>
  <si>
    <t>Product ID</t>
  </si>
  <si>
    <t>Base Price</t>
  </si>
  <si>
    <t>Final Price Raw</t>
  </si>
  <si>
    <t>P104</t>
  </si>
  <si>
    <t>P105</t>
  </si>
  <si>
    <t>Printer</t>
  </si>
  <si>
    <t>Round</t>
  </si>
  <si>
    <t>Ceiling</t>
  </si>
  <si>
    <t>Floor</t>
  </si>
  <si>
    <t>Aditi</t>
  </si>
  <si>
    <t>Rohan</t>
  </si>
  <si>
    <t>Meera</t>
  </si>
  <si>
    <t>Kabir</t>
  </si>
  <si>
    <t>Sneha</t>
  </si>
  <si>
    <t>Tarun</t>
  </si>
  <si>
    <t>Arjun</t>
  </si>
  <si>
    <t>Top Performing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</si>
</sst>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4F4F4"/>
      <name val="Segoe UI"/>
      <family val="2"/>
    </font>
    <font>
      <b/>
      <sz val="11"/>
      <color rgb="FFF4F4F4"/>
      <name val="Segoe UI"/>
      <family val="2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CD0FA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/>
    <xf numFmtId="9" fontId="0" fillId="0" borderId="0" xfId="0" applyNumberForma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164" fontId="10" fillId="0" borderId="1" xfId="0" applyNumberFormat="1" applyFont="1" applyBorder="1" applyAlignment="1">
      <alignment vertical="center" wrapText="1"/>
    </xf>
    <xf numFmtId="9" fontId="10" fillId="0" borderId="1" xfId="1" applyFont="1" applyBorder="1" applyAlignment="1">
      <alignment vertical="center" wrapText="1"/>
    </xf>
    <xf numFmtId="9" fontId="10" fillId="0" borderId="1" xfId="0" applyNumberFormat="1" applyFont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9" fontId="7" fillId="6" borderId="1" xfId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3" fontId="0" fillId="0" borderId="1" xfId="0" applyNumberFormat="1" applyBorder="1" applyAlignment="1">
      <alignment vertical="center" wrapText="1"/>
    </xf>
    <xf numFmtId="0" fontId="2" fillId="9" borderId="0" xfId="0" applyFont="1" applyFill="1" applyAlignment="1">
      <alignment horizontal="center" vertical="center" wrapText="1"/>
    </xf>
    <xf numFmtId="0" fontId="0" fillId="9" borderId="0" xfId="0" applyFill="1"/>
    <xf numFmtId="2" fontId="0" fillId="0" borderId="0" xfId="0" applyNumberFormat="1" applyAlignment="1">
      <alignment horizontal="left" inden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4" fillId="0" borderId="0" xfId="0" applyFont="1"/>
    <xf numFmtId="15" fontId="0" fillId="0" borderId="1" xfId="0" applyNumberFormat="1" applyBorder="1" applyAlignment="1">
      <alignment vertical="center" wrapText="1"/>
    </xf>
    <xf numFmtId="0" fontId="2" fillId="14" borderId="0" xfId="0" applyFont="1" applyFill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0" fillId="0" borderId="3" xfId="0" applyBorder="1" applyAlignment="1">
      <alignment vertical="center" wrapText="1"/>
    </xf>
    <xf numFmtId="17" fontId="0" fillId="0" borderId="0" xfId="0" applyNumberFormat="1"/>
    <xf numFmtId="0" fontId="0" fillId="5" borderId="0" xfId="0" applyFill="1"/>
    <xf numFmtId="0" fontId="0" fillId="0" borderId="4" xfId="0" applyBorder="1" applyAlignment="1">
      <alignment vertical="center" wrapText="1"/>
    </xf>
    <xf numFmtId="17" fontId="0" fillId="0" borderId="1" xfId="0" applyNumberFormat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5" borderId="1" xfId="0" applyFill="1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14" borderId="0" xfId="0" applyFill="1"/>
    <xf numFmtId="0" fontId="2" fillId="17" borderId="0" xfId="0" applyFont="1" applyFill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2" fillId="11" borderId="0" xfId="0" applyFont="1" applyFill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8" fillId="4" borderId="0" xfId="0" applyFont="1" applyFill="1" applyAlignment="1">
      <alignment horizontal="left" indent="4"/>
    </xf>
    <xf numFmtId="0" fontId="0" fillId="4" borderId="0" xfId="0" applyFill="1" applyAlignment="1">
      <alignment horizontal="left" indent="4"/>
    </xf>
    <xf numFmtId="0" fontId="0" fillId="4" borderId="0" xfId="0" applyFill="1" applyAlignment="1">
      <alignment horizontal="center"/>
    </xf>
    <xf numFmtId="0" fontId="8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7" fillId="7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11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2" fillId="19" borderId="1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CD0FA"/>
      <color rgb="FFF9A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6B493-712A-411B-8CEB-13179DEC5DEF}">
  <dimension ref="A1:M27"/>
  <sheetViews>
    <sheetView topLeftCell="A2" workbookViewId="0">
      <selection activeCell="E22" sqref="E22"/>
    </sheetView>
  </sheetViews>
  <sheetFormatPr defaultRowHeight="15" x14ac:dyDescent="0.25"/>
  <cols>
    <col min="7" max="7" width="9.5703125" bestFit="1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/>
      <c r="B2" s="2"/>
      <c r="C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/>
      <c r="B3" s="2"/>
      <c r="C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2"/>
      <c r="B4" s="2"/>
      <c r="C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s="2"/>
      <c r="B5" s="2"/>
      <c r="C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A7" s="56" t="s">
        <v>13</v>
      </c>
      <c r="B7" s="56"/>
      <c r="C7" s="56"/>
      <c r="D7" s="56"/>
      <c r="E7" s="2"/>
      <c r="F7" s="2"/>
      <c r="G7" s="2"/>
      <c r="H7" s="2"/>
      <c r="I7" s="56"/>
      <c r="J7" s="56"/>
      <c r="K7" s="56"/>
      <c r="L7" s="56"/>
      <c r="M7" s="2"/>
    </row>
    <row r="8" spans="1:13" x14ac:dyDescent="0.25">
      <c r="A8" s="2">
        <v>5</v>
      </c>
      <c r="B8" s="2">
        <v>1</v>
      </c>
      <c r="C8" s="2">
        <f>$A$8*B8</f>
        <v>5</v>
      </c>
      <c r="D8" s="2"/>
      <c r="I8" s="2"/>
      <c r="J8" s="2"/>
      <c r="K8" s="2"/>
      <c r="L8" s="2"/>
      <c r="M8" s="2"/>
    </row>
    <row r="9" spans="1:13" x14ac:dyDescent="0.25">
      <c r="A9" s="2"/>
      <c r="B9" s="2">
        <v>2</v>
      </c>
      <c r="C9" s="2">
        <f t="shared" ref="C9:C17" si="0">$A$8*B9</f>
        <v>10</v>
      </c>
      <c r="D9" s="2"/>
      <c r="I9" s="2"/>
      <c r="J9" s="2"/>
      <c r="K9" s="2"/>
      <c r="L9" s="2"/>
      <c r="M9" s="2"/>
    </row>
    <row r="10" spans="1:13" x14ac:dyDescent="0.25">
      <c r="A10" s="2"/>
      <c r="B10" s="2">
        <v>3</v>
      </c>
      <c r="C10" s="2">
        <f t="shared" si="0"/>
        <v>15</v>
      </c>
      <c r="D10" s="2"/>
      <c r="E10" s="57" t="s">
        <v>14</v>
      </c>
      <c r="F10" s="57"/>
      <c r="G10" s="57"/>
      <c r="H10" s="57"/>
      <c r="I10" s="2"/>
      <c r="J10" s="56" t="s">
        <v>15</v>
      </c>
      <c r="K10" s="56"/>
      <c r="L10" s="56"/>
      <c r="M10" s="56"/>
    </row>
    <row r="11" spans="1:13" x14ac:dyDescent="0.25">
      <c r="A11" s="2"/>
      <c r="B11" s="2">
        <v>4</v>
      </c>
      <c r="C11" s="2">
        <f t="shared" si="0"/>
        <v>20</v>
      </c>
      <c r="D11" s="2"/>
      <c r="I11" s="2"/>
      <c r="J11" s="2"/>
      <c r="K11" s="2"/>
      <c r="L11" s="2"/>
      <c r="M11" s="2"/>
    </row>
    <row r="12" spans="1:13" x14ac:dyDescent="0.25">
      <c r="B12" s="2">
        <v>5</v>
      </c>
      <c r="C12" s="2">
        <f t="shared" si="0"/>
        <v>25</v>
      </c>
      <c r="E12" s="1" t="s">
        <v>0</v>
      </c>
      <c r="F12" s="1" t="s">
        <v>7</v>
      </c>
      <c r="G12" s="1" t="s">
        <v>8</v>
      </c>
      <c r="H12" s="1" t="s">
        <v>6</v>
      </c>
    </row>
    <row r="13" spans="1:13" x14ac:dyDescent="0.25">
      <c r="B13" s="2">
        <v>6</v>
      </c>
      <c r="C13" s="2">
        <f t="shared" si="0"/>
        <v>30</v>
      </c>
      <c r="E13" s="2" t="s">
        <v>9</v>
      </c>
      <c r="F13" s="2">
        <v>87</v>
      </c>
      <c r="G13" s="2">
        <v>45</v>
      </c>
      <c r="H13">
        <f>SUM(F13,G13)</f>
        <v>132</v>
      </c>
    </row>
    <row r="14" spans="1:13" x14ac:dyDescent="0.25">
      <c r="B14" s="2">
        <v>7</v>
      </c>
      <c r="C14" s="2">
        <f t="shared" si="0"/>
        <v>35</v>
      </c>
      <c r="E14" s="2" t="s">
        <v>10</v>
      </c>
      <c r="F14" s="2">
        <v>52</v>
      </c>
      <c r="G14" s="2">
        <v>26</v>
      </c>
      <c r="H14">
        <f t="shared" ref="H14:H16" si="1">SUM(F14,G14)</f>
        <v>78</v>
      </c>
    </row>
    <row r="15" spans="1:13" x14ac:dyDescent="0.25">
      <c r="B15" s="2">
        <v>8</v>
      </c>
      <c r="C15" s="2">
        <f t="shared" si="0"/>
        <v>40</v>
      </c>
      <c r="E15" s="2" t="s">
        <v>11</v>
      </c>
      <c r="F15" s="2">
        <v>45</v>
      </c>
      <c r="G15" s="2">
        <v>21</v>
      </c>
      <c r="H15">
        <f t="shared" si="1"/>
        <v>66</v>
      </c>
    </row>
    <row r="16" spans="1:13" x14ac:dyDescent="0.25">
      <c r="B16" s="2">
        <v>9</v>
      </c>
      <c r="C16" s="2">
        <f t="shared" si="0"/>
        <v>45</v>
      </c>
      <c r="E16" s="2" t="s">
        <v>12</v>
      </c>
      <c r="F16" s="2">
        <v>26</v>
      </c>
      <c r="G16" s="2">
        <v>54</v>
      </c>
      <c r="H16">
        <f t="shared" si="1"/>
        <v>80</v>
      </c>
      <c r="K16">
        <v>40000</v>
      </c>
      <c r="L16" s="3">
        <v>7.0000000000000007E-2</v>
      </c>
      <c r="M16">
        <f>K16-(K16*L16)</f>
        <v>37200</v>
      </c>
    </row>
    <row r="17" spans="2:8" x14ac:dyDescent="0.25">
      <c r="B17" s="2">
        <v>10</v>
      </c>
      <c r="C17" s="2">
        <f t="shared" si="0"/>
        <v>50</v>
      </c>
    </row>
    <row r="20" spans="2:8" x14ac:dyDescent="0.25">
      <c r="C20" s="57" t="s">
        <v>26</v>
      </c>
      <c r="D20" s="57"/>
      <c r="E20" s="57"/>
      <c r="F20" s="57"/>
      <c r="G20" s="57"/>
      <c r="H20" s="57"/>
    </row>
    <row r="22" spans="2:8" ht="45" x14ac:dyDescent="0.25">
      <c r="C22" s="1">
        <f>-C31</f>
        <v>0</v>
      </c>
      <c r="D22" s="1" t="s">
        <v>5</v>
      </c>
      <c r="E22" s="1" t="s">
        <v>16</v>
      </c>
      <c r="F22" s="1" t="s">
        <v>17</v>
      </c>
      <c r="G22" s="1" t="s">
        <v>24</v>
      </c>
      <c r="H22" s="1" t="s">
        <v>25</v>
      </c>
    </row>
    <row r="23" spans="2:8" ht="30" x14ac:dyDescent="0.25">
      <c r="C23" s="2" t="s">
        <v>19</v>
      </c>
      <c r="D23" s="2">
        <v>80000</v>
      </c>
      <c r="E23" s="4">
        <v>0.1</v>
      </c>
      <c r="F23" s="4">
        <v>0.05</v>
      </c>
      <c r="G23" s="4">
        <v>0.18</v>
      </c>
      <c r="H23" s="2">
        <f>(D23-(D23*E23))*(1+$G$23)</f>
        <v>84960</v>
      </c>
    </row>
    <row r="24" spans="2:8" ht="30" x14ac:dyDescent="0.25">
      <c r="C24" s="2" t="s">
        <v>20</v>
      </c>
      <c r="D24" s="2">
        <v>75000</v>
      </c>
      <c r="E24" s="4">
        <v>0.08</v>
      </c>
      <c r="F24" s="4">
        <v>0.05</v>
      </c>
      <c r="G24" s="2"/>
      <c r="H24" s="2">
        <f t="shared" ref="H24:H27" si="2">(D24-(D24*E24))*(1+$G$23)</f>
        <v>81420</v>
      </c>
    </row>
    <row r="25" spans="2:8" ht="30" x14ac:dyDescent="0.25">
      <c r="C25" s="2" t="s">
        <v>21</v>
      </c>
      <c r="D25" s="2">
        <v>20000</v>
      </c>
      <c r="E25" s="4">
        <v>0.05</v>
      </c>
      <c r="F25" s="4">
        <v>0.05</v>
      </c>
      <c r="G25" s="2"/>
      <c r="H25" s="2">
        <f t="shared" si="2"/>
        <v>22420</v>
      </c>
    </row>
    <row r="26" spans="2:8" ht="30" x14ac:dyDescent="0.25">
      <c r="C26" s="2" t="s">
        <v>22</v>
      </c>
      <c r="D26" s="2">
        <v>18000</v>
      </c>
      <c r="E26" s="4">
        <v>7.0000000000000007E-2</v>
      </c>
      <c r="F26" s="4">
        <v>0.05</v>
      </c>
      <c r="G26" s="2"/>
      <c r="H26" s="2">
        <f t="shared" si="2"/>
        <v>19753.2</v>
      </c>
    </row>
    <row r="27" spans="2:8" ht="30" x14ac:dyDescent="0.25">
      <c r="C27" s="2" t="s">
        <v>23</v>
      </c>
      <c r="D27" s="2">
        <v>60000</v>
      </c>
      <c r="E27" s="4">
        <v>0.06</v>
      </c>
      <c r="F27" s="4">
        <v>0.05</v>
      </c>
      <c r="G27" s="2"/>
      <c r="H27" s="2">
        <f t="shared" si="2"/>
        <v>66552</v>
      </c>
    </row>
  </sheetData>
  <mergeCells count="5">
    <mergeCell ref="A7:D7"/>
    <mergeCell ref="E10:H10"/>
    <mergeCell ref="I7:L7"/>
    <mergeCell ref="J10:M10"/>
    <mergeCell ref="C20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FF31B-224B-4298-991A-57A42E152AE5}">
  <dimension ref="A2:K10"/>
  <sheetViews>
    <sheetView zoomScale="89" workbookViewId="0">
      <selection activeCell="G2" sqref="G2:K2"/>
    </sheetView>
  </sheetViews>
  <sheetFormatPr defaultRowHeight="15" x14ac:dyDescent="0.25"/>
  <cols>
    <col min="1" max="1" width="13.85546875" customWidth="1"/>
    <col min="2" max="2" width="11.85546875" bestFit="1" customWidth="1"/>
    <col min="3" max="3" width="8.85546875" bestFit="1" customWidth="1"/>
    <col min="4" max="4" width="9.28515625" bestFit="1" customWidth="1"/>
    <col min="5" max="5" width="11.85546875" bestFit="1" customWidth="1"/>
    <col min="7" max="7" width="4" customWidth="1"/>
    <col min="8" max="8" width="11" customWidth="1"/>
    <col min="9" max="9" width="12.140625" customWidth="1"/>
    <col min="10" max="10" width="12" customWidth="1"/>
    <col min="11" max="11" width="14.42578125" customWidth="1"/>
  </cols>
  <sheetData>
    <row r="2" spans="1:11" ht="31.5" x14ac:dyDescent="0.5">
      <c r="A2" s="58" t="s">
        <v>28</v>
      </c>
      <c r="B2" s="59"/>
      <c r="C2" s="59"/>
      <c r="D2" s="59"/>
      <c r="E2" s="59"/>
      <c r="G2" s="60" t="s">
        <v>29</v>
      </c>
      <c r="H2" s="61"/>
      <c r="I2" s="61"/>
      <c r="J2" s="61"/>
      <c r="K2" s="61"/>
    </row>
    <row r="5" spans="1:11" ht="37.5" x14ac:dyDescent="0.25">
      <c r="A5" s="5" t="s">
        <v>1</v>
      </c>
      <c r="B5" s="5" t="s">
        <v>5</v>
      </c>
      <c r="C5" s="5" t="s">
        <v>16</v>
      </c>
      <c r="D5" s="5" t="s">
        <v>27</v>
      </c>
      <c r="E5" s="5" t="s">
        <v>18</v>
      </c>
      <c r="H5" s="6" t="s">
        <v>1</v>
      </c>
      <c r="I5" s="6" t="s">
        <v>5</v>
      </c>
      <c r="J5" s="6" t="s">
        <v>16</v>
      </c>
      <c r="K5" s="6" t="s">
        <v>30</v>
      </c>
    </row>
    <row r="6" spans="1:11" ht="15.75" x14ac:dyDescent="0.25">
      <c r="A6" s="7" t="s">
        <v>19</v>
      </c>
      <c r="B6" s="8">
        <v>80000</v>
      </c>
      <c r="C6" s="9">
        <v>0.1</v>
      </c>
      <c r="D6" s="9">
        <v>0.18</v>
      </c>
      <c r="E6" s="8">
        <f>(B6 - (B6*C6))*(1+18%)</f>
        <v>84960</v>
      </c>
      <c r="H6" s="7" t="s">
        <v>19</v>
      </c>
      <c r="I6" s="7">
        <v>80000</v>
      </c>
      <c r="J6" s="10">
        <v>0.1</v>
      </c>
      <c r="K6" s="7">
        <f>I6*J6</f>
        <v>8000</v>
      </c>
    </row>
    <row r="7" spans="1:11" ht="31.5" x14ac:dyDescent="0.25">
      <c r="A7" s="7" t="s">
        <v>20</v>
      </c>
      <c r="B7" s="8">
        <v>75000</v>
      </c>
      <c r="C7" s="9">
        <v>0.08</v>
      </c>
      <c r="D7" s="9">
        <v>0.18</v>
      </c>
      <c r="E7" s="8">
        <f t="shared" ref="E7:E10" si="0">(B7 - (B7*C7))*(1+18%)</f>
        <v>81420</v>
      </c>
      <c r="H7" s="7" t="s">
        <v>20</v>
      </c>
      <c r="I7" s="7">
        <v>75000</v>
      </c>
      <c r="J7" s="10">
        <v>0.08</v>
      </c>
      <c r="K7" s="7">
        <f t="shared" ref="K7:K10" si="1">I7*J7</f>
        <v>6000</v>
      </c>
    </row>
    <row r="8" spans="1:11" ht="15.75" x14ac:dyDescent="0.25">
      <c r="A8" s="7" t="s">
        <v>21</v>
      </c>
      <c r="B8" s="8">
        <v>20000</v>
      </c>
      <c r="C8" s="9">
        <v>0.05</v>
      </c>
      <c r="D8" s="9">
        <v>0.18</v>
      </c>
      <c r="E8" s="8">
        <f t="shared" si="0"/>
        <v>22420</v>
      </c>
      <c r="H8" s="7" t="s">
        <v>21</v>
      </c>
      <c r="I8" s="7">
        <v>20000</v>
      </c>
      <c r="J8" s="10">
        <v>0.05</v>
      </c>
      <c r="K8" s="7">
        <f t="shared" si="1"/>
        <v>1000</v>
      </c>
    </row>
    <row r="9" spans="1:11" ht="31.5" x14ac:dyDescent="0.25">
      <c r="A9" s="7" t="s">
        <v>22</v>
      </c>
      <c r="B9" s="8">
        <v>18000</v>
      </c>
      <c r="C9" s="9">
        <v>7.0000000000000007E-2</v>
      </c>
      <c r="D9" s="9">
        <v>0.18</v>
      </c>
      <c r="E9" s="8">
        <f t="shared" si="0"/>
        <v>19753.2</v>
      </c>
      <c r="H9" s="7" t="s">
        <v>22</v>
      </c>
      <c r="I9" s="7">
        <v>18000</v>
      </c>
      <c r="J9" s="10">
        <v>7.0000000000000007E-2</v>
      </c>
      <c r="K9" s="7">
        <f t="shared" si="1"/>
        <v>1260.0000000000002</v>
      </c>
    </row>
    <row r="10" spans="1:11" ht="31.5" x14ac:dyDescent="0.25">
      <c r="A10" s="7" t="s">
        <v>23</v>
      </c>
      <c r="B10" s="8">
        <v>60000</v>
      </c>
      <c r="C10" s="9">
        <v>0.06</v>
      </c>
      <c r="D10" s="9">
        <v>0.18</v>
      </c>
      <c r="E10" s="8">
        <f t="shared" si="0"/>
        <v>66552</v>
      </c>
      <c r="H10" s="7" t="s">
        <v>23</v>
      </c>
      <c r="I10" s="7">
        <v>60000</v>
      </c>
      <c r="J10" s="10">
        <v>0.06</v>
      </c>
      <c r="K10" s="7">
        <f t="shared" si="1"/>
        <v>3600</v>
      </c>
    </row>
  </sheetData>
  <mergeCells count="2">
    <mergeCell ref="A2:E2"/>
    <mergeCell ref="G2:K2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A7AA1-1A11-4EE0-B962-6306E5EF43E9}">
  <dimension ref="A1:M21"/>
  <sheetViews>
    <sheetView zoomScale="91" workbookViewId="0">
      <selection activeCell="A15" sqref="A15:F15"/>
    </sheetView>
  </sheetViews>
  <sheetFormatPr defaultRowHeight="15" x14ac:dyDescent="0.25"/>
  <cols>
    <col min="2" max="2" width="12.140625" customWidth="1"/>
    <col min="3" max="3" width="15.140625" customWidth="1"/>
    <col min="4" max="4" width="12.140625" customWidth="1"/>
  </cols>
  <sheetData>
    <row r="1" spans="1:13" x14ac:dyDescent="0.25">
      <c r="A1" s="59" t="s">
        <v>36</v>
      </c>
      <c r="B1" s="59"/>
      <c r="C1" s="59"/>
      <c r="E1" s="62" t="s">
        <v>37</v>
      </c>
      <c r="F1" s="62"/>
      <c r="G1" s="62"/>
      <c r="H1" s="62"/>
    </row>
    <row r="3" spans="1:13" ht="31.5" x14ac:dyDescent="0.25">
      <c r="A3" s="11" t="s">
        <v>31</v>
      </c>
      <c r="B3" s="11" t="s">
        <v>32</v>
      </c>
      <c r="C3" s="11" t="s">
        <v>33</v>
      </c>
      <c r="D3" s="12"/>
      <c r="E3" s="13" t="s">
        <v>31</v>
      </c>
      <c r="F3" s="13" t="s">
        <v>32</v>
      </c>
      <c r="G3" s="13" t="s">
        <v>33</v>
      </c>
      <c r="H3" s="1"/>
    </row>
    <row r="4" spans="1:13" ht="15.75" x14ac:dyDescent="0.25">
      <c r="A4" s="14" t="s">
        <v>2</v>
      </c>
      <c r="B4" s="14">
        <v>95</v>
      </c>
      <c r="C4" s="14" t="str">
        <f>IF(B4&gt;90,"A","Good Try")</f>
        <v>A</v>
      </c>
      <c r="D4" s="12"/>
      <c r="E4" s="14" t="s">
        <v>2</v>
      </c>
      <c r="F4" s="14">
        <v>95</v>
      </c>
      <c r="G4" s="14" t="str">
        <f>IF(F4&gt;=90,"A",IF(F4&gt;=75,"B",IF(F4&gt;=60,"C","F")))</f>
        <v>A</v>
      </c>
      <c r="H4" s="2"/>
    </row>
    <row r="5" spans="1:13" ht="31.5" x14ac:dyDescent="0.25">
      <c r="A5" s="14" t="s">
        <v>34</v>
      </c>
      <c r="B5" s="14">
        <v>82</v>
      </c>
      <c r="C5" s="14" t="str">
        <f t="shared" ref="C5:C8" si="0">IF(B5&gt;90,"A","Good Try")</f>
        <v>Good Try</v>
      </c>
      <c r="D5" s="12"/>
      <c r="E5" s="14" t="s">
        <v>34</v>
      </c>
      <c r="F5" s="14">
        <v>82</v>
      </c>
      <c r="G5" s="14" t="str">
        <f t="shared" ref="G5:G8" si="1">IF(F5&gt;=90,"A",IF(F5&gt;=75,"B",IF(F5&gt;=60,"C","F")))</f>
        <v>B</v>
      </c>
      <c r="H5" s="2"/>
    </row>
    <row r="6" spans="1:13" ht="31.5" x14ac:dyDescent="0.25">
      <c r="A6" s="14" t="s">
        <v>3</v>
      </c>
      <c r="B6" s="14">
        <v>74</v>
      </c>
      <c r="C6" s="14" t="str">
        <f t="shared" si="0"/>
        <v>Good Try</v>
      </c>
      <c r="D6" s="12"/>
      <c r="E6" s="14" t="s">
        <v>3</v>
      </c>
      <c r="F6" s="14">
        <v>74</v>
      </c>
      <c r="G6" s="14" t="str">
        <f t="shared" si="1"/>
        <v>C</v>
      </c>
      <c r="H6" s="2"/>
    </row>
    <row r="7" spans="1:13" ht="31.5" x14ac:dyDescent="0.25">
      <c r="A7" s="14" t="s">
        <v>35</v>
      </c>
      <c r="B7" s="14">
        <v>67</v>
      </c>
      <c r="C7" s="14" t="str">
        <f t="shared" si="0"/>
        <v>Good Try</v>
      </c>
      <c r="D7" s="12"/>
      <c r="E7" s="14" t="s">
        <v>35</v>
      </c>
      <c r="F7" s="14">
        <v>67</v>
      </c>
      <c r="G7" s="14" t="str">
        <f t="shared" si="1"/>
        <v>C</v>
      </c>
      <c r="H7" s="2"/>
    </row>
    <row r="8" spans="1:13" ht="31.5" x14ac:dyDescent="0.25">
      <c r="A8" s="14" t="s">
        <v>4</v>
      </c>
      <c r="B8" s="14">
        <v>55</v>
      </c>
      <c r="C8" s="14" t="str">
        <f t="shared" si="0"/>
        <v>Good Try</v>
      </c>
      <c r="D8" s="12"/>
      <c r="E8" s="14" t="s">
        <v>4</v>
      </c>
      <c r="F8" s="14">
        <v>55</v>
      </c>
      <c r="G8" s="14" t="str">
        <f t="shared" si="1"/>
        <v>F</v>
      </c>
      <c r="H8" s="2"/>
    </row>
    <row r="11" spans="1:13" ht="31.5" customHeight="1" x14ac:dyDescent="0.5">
      <c r="A11" s="63" t="s">
        <v>38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</row>
    <row r="15" spans="1:13" x14ac:dyDescent="0.25">
      <c r="A15" s="57"/>
      <c r="B15" s="57"/>
      <c r="C15" s="57"/>
      <c r="D15" s="57"/>
      <c r="E15" s="57"/>
      <c r="F15" s="57"/>
    </row>
    <row r="18" spans="2:4" ht="42" x14ac:dyDescent="0.25">
      <c r="B18" s="17" t="s">
        <v>1</v>
      </c>
      <c r="C18" s="17" t="s">
        <v>5</v>
      </c>
      <c r="D18" s="17" t="s">
        <v>16</v>
      </c>
    </row>
    <row r="19" spans="2:4" ht="37.5" x14ac:dyDescent="0.25">
      <c r="B19" s="15" t="s">
        <v>19</v>
      </c>
      <c r="C19" s="16">
        <v>80000</v>
      </c>
      <c r="D19" s="18">
        <f>IF(C19&gt;50000,10%,IF(C19&gt;30000,5%,IF(C19&gt;=20000,2%)))</f>
        <v>0.1</v>
      </c>
    </row>
    <row r="20" spans="2:4" ht="37.5" x14ac:dyDescent="0.25">
      <c r="B20" s="15" t="s">
        <v>20</v>
      </c>
      <c r="C20" s="16">
        <v>45000</v>
      </c>
      <c r="D20" s="18">
        <f t="shared" ref="D20:D21" si="2">IF(C20&gt;50000,10%,IF(C20&gt;30000,5%,IF(C20&gt;=20000,2%)))</f>
        <v>0.05</v>
      </c>
    </row>
    <row r="21" spans="2:4" ht="37.5" x14ac:dyDescent="0.25">
      <c r="B21" s="15" t="s">
        <v>21</v>
      </c>
      <c r="C21" s="16">
        <v>20000</v>
      </c>
      <c r="D21" s="18">
        <f t="shared" si="2"/>
        <v>0.02</v>
      </c>
    </row>
  </sheetData>
  <mergeCells count="4">
    <mergeCell ref="A1:C1"/>
    <mergeCell ref="E1:H1"/>
    <mergeCell ref="A11:M11"/>
    <mergeCell ref="A15:F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F28CB-3ED7-4334-98C2-7BA8A0F48EA3}">
  <dimension ref="A2:K10"/>
  <sheetViews>
    <sheetView workbookViewId="0">
      <selection activeCell="I15" sqref="I15"/>
    </sheetView>
  </sheetViews>
  <sheetFormatPr defaultRowHeight="15" x14ac:dyDescent="0.25"/>
  <cols>
    <col min="1" max="2" width="14" customWidth="1"/>
    <col min="3" max="3" width="12.5703125" customWidth="1"/>
    <col min="6" max="6" width="17.140625" customWidth="1"/>
    <col min="7" max="7" width="11.5703125" customWidth="1"/>
    <col min="8" max="8" width="11" customWidth="1"/>
    <col min="9" max="9" width="12.85546875" customWidth="1"/>
  </cols>
  <sheetData>
    <row r="2" spans="1:11" ht="18.75" x14ac:dyDescent="0.3">
      <c r="A2" s="65" t="s">
        <v>43</v>
      </c>
      <c r="B2" s="64"/>
      <c r="C2" s="64"/>
      <c r="D2" s="64"/>
      <c r="F2" s="66" t="s">
        <v>44</v>
      </c>
      <c r="G2" s="62"/>
      <c r="H2" s="62"/>
      <c r="I2" s="62"/>
      <c r="J2" s="62"/>
      <c r="K2" s="62"/>
    </row>
    <row r="5" spans="1:11" ht="42" x14ac:dyDescent="0.25">
      <c r="A5" s="19" t="s">
        <v>39</v>
      </c>
      <c r="B5" s="19" t="s">
        <v>40</v>
      </c>
      <c r="C5" s="19" t="s">
        <v>41</v>
      </c>
      <c r="D5" s="19" t="s">
        <v>42</v>
      </c>
      <c r="F5" s="23" t="s">
        <v>1</v>
      </c>
      <c r="G5" s="23" t="s">
        <v>5</v>
      </c>
      <c r="H5" s="23" t="s">
        <v>45</v>
      </c>
      <c r="I5" s="23" t="s">
        <v>46</v>
      </c>
    </row>
    <row r="6" spans="1:11" ht="18.75" x14ac:dyDescent="0.25">
      <c r="A6" s="22" t="s">
        <v>2</v>
      </c>
      <c r="B6" s="22">
        <v>98</v>
      </c>
      <c r="C6" s="22">
        <v>92</v>
      </c>
      <c r="D6" s="20" t="str">
        <f>IF(AND(B6&gt;90,C6&gt;90),"Excellent","Try Hard")</f>
        <v>Excellent</v>
      </c>
      <c r="F6" s="22" t="s">
        <v>19</v>
      </c>
      <c r="G6" s="24">
        <v>80000</v>
      </c>
      <c r="H6" s="22">
        <v>5</v>
      </c>
      <c r="I6" s="20" t="str">
        <f>IF(OR(G6&gt;50000,H6&gt;10),"Yes","No")</f>
        <v>Yes</v>
      </c>
    </row>
    <row r="7" spans="1:11" ht="18.75" x14ac:dyDescent="0.25">
      <c r="A7" s="22" t="s">
        <v>34</v>
      </c>
      <c r="B7" s="22">
        <v>78</v>
      </c>
      <c r="C7" s="22">
        <v>89</v>
      </c>
      <c r="D7" s="20" t="str">
        <f t="shared" ref="D7:D9" si="0">IF(AND(B7&gt;90,C7&gt;90),"Excellent","Try Hard")</f>
        <v>Try Hard</v>
      </c>
      <c r="F7" s="22" t="s">
        <v>21</v>
      </c>
      <c r="G7" s="24">
        <v>25000</v>
      </c>
      <c r="H7" s="22">
        <v>8</v>
      </c>
      <c r="I7" s="20" t="str">
        <f t="shared" ref="I7:I9" si="1">IF(OR(G7&gt;50000,H7&gt;10),"Yes","No")</f>
        <v>No</v>
      </c>
    </row>
    <row r="8" spans="1:11" ht="18.75" x14ac:dyDescent="0.25">
      <c r="A8" s="22" t="s">
        <v>3</v>
      </c>
      <c r="B8" s="22">
        <v>88</v>
      </c>
      <c r="C8" s="22">
        <v>81</v>
      </c>
      <c r="D8" s="20" t="str">
        <f t="shared" si="0"/>
        <v>Try Hard</v>
      </c>
      <c r="F8" s="22" t="s">
        <v>20</v>
      </c>
      <c r="G8" s="24">
        <v>45000</v>
      </c>
      <c r="H8" s="22">
        <v>20</v>
      </c>
      <c r="I8" s="20" t="str">
        <f t="shared" si="1"/>
        <v>Yes</v>
      </c>
    </row>
    <row r="9" spans="1:11" ht="18.75" x14ac:dyDescent="0.25">
      <c r="A9" s="22" t="s">
        <v>4</v>
      </c>
      <c r="B9" s="22">
        <v>90</v>
      </c>
      <c r="C9" s="22">
        <v>76</v>
      </c>
      <c r="D9" s="20" t="str">
        <f t="shared" si="0"/>
        <v>Try Hard</v>
      </c>
      <c r="F9" s="22" t="s">
        <v>47</v>
      </c>
      <c r="G9" s="24">
        <v>95000</v>
      </c>
      <c r="H9" s="22">
        <v>15</v>
      </c>
      <c r="I9" s="20" t="str">
        <f t="shared" si="1"/>
        <v>Yes</v>
      </c>
    </row>
    <row r="10" spans="1:11" x14ac:dyDescent="0.25">
      <c r="A10" s="21"/>
      <c r="B10" s="21"/>
      <c r="C10" s="21"/>
      <c r="D10" s="21"/>
    </row>
  </sheetData>
  <mergeCells count="2">
    <mergeCell ref="A2:D2"/>
    <mergeCell ref="F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4FCD9-2125-4227-B678-5B965090A549}">
  <dimension ref="A2:L20"/>
  <sheetViews>
    <sheetView workbookViewId="0">
      <selection activeCell="E6" sqref="E6"/>
    </sheetView>
  </sheetViews>
  <sheetFormatPr defaultRowHeight="15" x14ac:dyDescent="0.25"/>
  <cols>
    <col min="3" max="3" width="17" bestFit="1" customWidth="1"/>
  </cols>
  <sheetData>
    <row r="2" spans="1:12" ht="21" x14ac:dyDescent="0.35">
      <c r="A2" s="67" t="s">
        <v>61</v>
      </c>
      <c r="B2" s="59"/>
      <c r="C2" s="59"/>
      <c r="D2" s="59"/>
      <c r="E2" s="59"/>
      <c r="G2" s="68" t="s">
        <v>62</v>
      </c>
      <c r="H2" s="64"/>
      <c r="I2" s="64"/>
      <c r="J2" s="64"/>
      <c r="K2" s="64"/>
      <c r="L2" s="64"/>
    </row>
    <row r="4" spans="1:12" x14ac:dyDescent="0.25">
      <c r="A4" s="25" t="s">
        <v>39</v>
      </c>
      <c r="B4" s="25" t="s">
        <v>40</v>
      </c>
      <c r="C4" s="25" t="s">
        <v>41</v>
      </c>
      <c r="D4" s="25" t="s">
        <v>48</v>
      </c>
      <c r="E4" s="30" t="s">
        <v>50</v>
      </c>
      <c r="G4" s="26" t="s">
        <v>51</v>
      </c>
      <c r="H4" s="26" t="s">
        <v>1</v>
      </c>
      <c r="I4" s="26" t="s">
        <v>52</v>
      </c>
      <c r="J4" s="30" t="s">
        <v>59</v>
      </c>
      <c r="K4" s="30" t="s">
        <v>60</v>
      </c>
    </row>
    <row r="5" spans="1:12" x14ac:dyDescent="0.25">
      <c r="A5" s="27" t="s">
        <v>2</v>
      </c>
      <c r="B5" s="27">
        <v>75</v>
      </c>
      <c r="C5" s="27">
        <v>60</v>
      </c>
      <c r="D5" s="27">
        <v>80</v>
      </c>
      <c r="E5" s="28">
        <f>COUNTIF(B5:B9,"&gt;50")</f>
        <v>3</v>
      </c>
      <c r="G5" s="27" t="s">
        <v>53</v>
      </c>
      <c r="H5" s="27" t="s">
        <v>54</v>
      </c>
      <c r="I5" s="29">
        <v>30000</v>
      </c>
      <c r="J5">
        <f>SUMIF(G5:G9,"North",I5:I9)</f>
        <v>98000</v>
      </c>
      <c r="K5">
        <f>SUMIFS(I5:I9,G5:G9,"North",H5:H9,"TV")</f>
        <v>58000</v>
      </c>
    </row>
    <row r="6" spans="1:12" x14ac:dyDescent="0.25">
      <c r="A6" s="27" t="s">
        <v>34</v>
      </c>
      <c r="B6" s="27">
        <v>45</v>
      </c>
      <c r="C6" s="27">
        <v>55</v>
      </c>
      <c r="D6" s="27">
        <v>50</v>
      </c>
      <c r="E6" s="28"/>
      <c r="G6" s="27" t="s">
        <v>55</v>
      </c>
      <c r="H6" s="27" t="s">
        <v>54</v>
      </c>
      <c r="I6" s="29">
        <v>25000</v>
      </c>
    </row>
    <row r="7" spans="1:12" x14ac:dyDescent="0.25">
      <c r="A7" s="27" t="s">
        <v>3</v>
      </c>
      <c r="B7" s="27">
        <v>65</v>
      </c>
      <c r="C7" s="27">
        <v>70</v>
      </c>
      <c r="D7" s="27">
        <v>68</v>
      </c>
      <c r="E7" s="28"/>
      <c r="G7" s="27" t="s">
        <v>53</v>
      </c>
      <c r="H7" s="27" t="s">
        <v>56</v>
      </c>
      <c r="I7" s="29">
        <v>40000</v>
      </c>
    </row>
    <row r="8" spans="1:12" x14ac:dyDescent="0.25">
      <c r="A8" s="27" t="s">
        <v>4</v>
      </c>
      <c r="B8" s="27">
        <v>52</v>
      </c>
      <c r="C8" s="27">
        <v>40</v>
      </c>
      <c r="D8" s="27">
        <v>60</v>
      </c>
      <c r="E8" s="28"/>
      <c r="G8" s="27" t="s">
        <v>57</v>
      </c>
      <c r="H8" s="27" t="s">
        <v>58</v>
      </c>
      <c r="I8" s="29">
        <v>35000</v>
      </c>
    </row>
    <row r="9" spans="1:12" x14ac:dyDescent="0.25">
      <c r="A9" s="27" t="s">
        <v>49</v>
      </c>
      <c r="B9" s="27">
        <v>30</v>
      </c>
      <c r="C9" s="27">
        <v>35</v>
      </c>
      <c r="D9" s="27">
        <v>45</v>
      </c>
      <c r="E9" s="28"/>
      <c r="G9" s="27" t="s">
        <v>53</v>
      </c>
      <c r="H9" s="27" t="s">
        <v>54</v>
      </c>
      <c r="I9" s="29">
        <v>28000</v>
      </c>
    </row>
    <row r="10" spans="1:12" x14ac:dyDescent="0.25">
      <c r="A10" s="28"/>
      <c r="B10" s="28"/>
      <c r="C10" s="28"/>
      <c r="D10" s="28"/>
      <c r="E10" s="28"/>
      <c r="G10" s="28"/>
      <c r="H10" s="28"/>
      <c r="I10" s="28"/>
    </row>
    <row r="13" spans="1:12" ht="21" x14ac:dyDescent="0.35">
      <c r="A13" s="69" t="s">
        <v>63</v>
      </c>
      <c r="B13" s="70"/>
      <c r="C13" s="70"/>
      <c r="D13" s="70"/>
      <c r="E13" s="70"/>
      <c r="F13" s="70"/>
    </row>
    <row r="15" spans="1:12" ht="30" x14ac:dyDescent="0.25">
      <c r="A15" s="1" t="s">
        <v>39</v>
      </c>
      <c r="B15" s="1" t="s">
        <v>64</v>
      </c>
      <c r="C15" s="31" t="s">
        <v>65</v>
      </c>
    </row>
    <row r="16" spans="1:12" x14ac:dyDescent="0.25">
      <c r="A16" s="2" t="s">
        <v>2</v>
      </c>
      <c r="B16" s="2">
        <v>75</v>
      </c>
      <c r="C16" s="32">
        <f>AVERAGEIFS(B16:B20,B16:B20,"&gt;60")</f>
        <v>77.666666666666671</v>
      </c>
    </row>
    <row r="17" spans="1:2" x14ac:dyDescent="0.25">
      <c r="A17" s="2" t="s">
        <v>34</v>
      </c>
      <c r="B17" s="2">
        <v>45</v>
      </c>
    </row>
    <row r="18" spans="1:2" x14ac:dyDescent="0.25">
      <c r="A18" s="2" t="s">
        <v>3</v>
      </c>
      <c r="B18" s="2">
        <v>68</v>
      </c>
    </row>
    <row r="19" spans="1:2" x14ac:dyDescent="0.25">
      <c r="A19" s="2" t="s">
        <v>4</v>
      </c>
      <c r="B19" s="2">
        <v>90</v>
      </c>
    </row>
    <row r="20" spans="1:2" x14ac:dyDescent="0.25">
      <c r="A20" s="2" t="s">
        <v>49</v>
      </c>
      <c r="B20" s="2">
        <v>55</v>
      </c>
    </row>
  </sheetData>
  <mergeCells count="3">
    <mergeCell ref="A2:E2"/>
    <mergeCell ref="G2:L2"/>
    <mergeCell ref="A13:F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92EE2-FA85-4131-A069-45EF43CFA9E7}">
  <dimension ref="A1:K7"/>
  <sheetViews>
    <sheetView workbookViewId="0">
      <selection activeCell="C5" sqref="C5"/>
    </sheetView>
  </sheetViews>
  <sheetFormatPr defaultRowHeight="15" x14ac:dyDescent="0.25"/>
  <sheetData>
    <row r="1" spans="1:11" x14ac:dyDescent="0.25">
      <c r="A1" s="71" t="s">
        <v>73</v>
      </c>
      <c r="B1" s="71"/>
      <c r="C1" s="71"/>
      <c r="D1" s="71"/>
      <c r="F1" s="64" t="s">
        <v>74</v>
      </c>
      <c r="G1" s="64"/>
      <c r="H1" s="64"/>
      <c r="I1" s="64"/>
      <c r="J1" s="64"/>
      <c r="K1" s="64"/>
    </row>
    <row r="3" spans="1:11" ht="30" x14ac:dyDescent="0.25">
      <c r="A3" s="33" t="s">
        <v>66</v>
      </c>
      <c r="B3" s="33" t="s">
        <v>31</v>
      </c>
      <c r="C3" s="31" t="s">
        <v>67</v>
      </c>
      <c r="G3" s="33" t="s">
        <v>68</v>
      </c>
      <c r="H3" s="33" t="s">
        <v>69</v>
      </c>
      <c r="I3" s="33" t="s">
        <v>5</v>
      </c>
      <c r="J3" s="34" t="s">
        <v>67</v>
      </c>
    </row>
    <row r="4" spans="1:11" x14ac:dyDescent="0.25">
      <c r="A4" s="27">
        <v>101</v>
      </c>
      <c r="B4" s="27" t="s">
        <v>2</v>
      </c>
      <c r="C4" t="str">
        <f>VLOOKUP(A5,A4:B7,2,)</f>
        <v>Simran</v>
      </c>
      <c r="G4" s="27" t="s">
        <v>70</v>
      </c>
      <c r="H4" s="27" t="s">
        <v>56</v>
      </c>
      <c r="I4" s="29">
        <v>45000</v>
      </c>
      <c r="J4" t="str">
        <f>VLOOKUP(G4,$G$4:I6,2,)</f>
        <v>Laptop</v>
      </c>
    </row>
    <row r="5" spans="1:11" x14ac:dyDescent="0.25">
      <c r="A5" s="27">
        <v>102</v>
      </c>
      <c r="B5" s="27" t="s">
        <v>34</v>
      </c>
      <c r="G5" s="27" t="s">
        <v>71</v>
      </c>
      <c r="H5" s="27" t="s">
        <v>58</v>
      </c>
      <c r="I5" s="29">
        <v>25000</v>
      </c>
      <c r="J5" t="str">
        <f>VLOOKUP(G5,$G$4:I7,2,)</f>
        <v>Mobile</v>
      </c>
    </row>
    <row r="6" spans="1:11" x14ac:dyDescent="0.25">
      <c r="A6" s="27">
        <v>103</v>
      </c>
      <c r="B6" s="27" t="s">
        <v>3</v>
      </c>
      <c r="G6" s="27" t="s">
        <v>72</v>
      </c>
      <c r="H6" s="27" t="s">
        <v>54</v>
      </c>
      <c r="I6" s="29">
        <v>30000</v>
      </c>
      <c r="J6" t="str">
        <f>VLOOKUP(G6,$G$4:I8,2,)</f>
        <v>TV</v>
      </c>
    </row>
    <row r="7" spans="1:11" x14ac:dyDescent="0.25">
      <c r="A7" s="27">
        <v>104</v>
      </c>
      <c r="B7" s="27" t="s">
        <v>4</v>
      </c>
    </row>
  </sheetData>
  <mergeCells count="2">
    <mergeCell ref="A1:D1"/>
    <mergeCell ref="F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08A4D-AC39-4617-9D57-B122816A8DD4}">
  <dimension ref="A1:L22"/>
  <sheetViews>
    <sheetView zoomScale="87" workbookViewId="0">
      <selection activeCell="F12" sqref="F12"/>
    </sheetView>
  </sheetViews>
  <sheetFormatPr defaultRowHeight="15" x14ac:dyDescent="0.25"/>
  <cols>
    <col min="5" max="5" width="15" customWidth="1"/>
    <col min="11" max="11" width="10.5703125" bestFit="1" customWidth="1"/>
    <col min="12" max="12" width="13.140625" customWidth="1"/>
  </cols>
  <sheetData>
    <row r="1" spans="1:12" x14ac:dyDescent="0.25">
      <c r="A1" s="72" t="s">
        <v>79</v>
      </c>
      <c r="B1" s="72"/>
      <c r="C1" s="72"/>
      <c r="D1" s="72"/>
      <c r="E1" s="72"/>
      <c r="G1" s="62" t="s">
        <v>94</v>
      </c>
      <c r="H1" s="62"/>
      <c r="I1" s="62"/>
      <c r="J1" s="62"/>
      <c r="K1" s="62"/>
      <c r="L1" s="62"/>
    </row>
    <row r="3" spans="1:12" ht="30" x14ac:dyDescent="0.25">
      <c r="A3" s="33" t="s">
        <v>75</v>
      </c>
      <c r="B3" s="33" t="s">
        <v>76</v>
      </c>
      <c r="C3" s="33" t="s">
        <v>77</v>
      </c>
      <c r="D3" s="33" t="s">
        <v>78</v>
      </c>
      <c r="E3" s="35" t="s">
        <v>80</v>
      </c>
      <c r="G3" s="33" t="s">
        <v>82</v>
      </c>
      <c r="H3" s="33" t="s">
        <v>83</v>
      </c>
      <c r="I3" s="33" t="s">
        <v>84</v>
      </c>
      <c r="J3" s="33" t="s">
        <v>85</v>
      </c>
      <c r="K3" s="33" t="s">
        <v>86</v>
      </c>
      <c r="L3" s="40" t="s">
        <v>80</v>
      </c>
    </row>
    <row r="4" spans="1:12" x14ac:dyDescent="0.25">
      <c r="A4" s="27" t="s">
        <v>2</v>
      </c>
      <c r="B4" s="27">
        <v>30000</v>
      </c>
      <c r="C4" s="27">
        <v>28000</v>
      </c>
      <c r="D4" s="27">
        <v>35000</v>
      </c>
      <c r="E4">
        <f>INDEX(A4:D7,MATCH("Simran",A4:A7,0),MATCH("feb",A3:D3,0))</f>
        <v>26000</v>
      </c>
      <c r="G4" s="27" t="s">
        <v>2</v>
      </c>
      <c r="H4" s="27" t="s">
        <v>52</v>
      </c>
      <c r="I4" s="27" t="s">
        <v>87</v>
      </c>
      <c r="J4" s="27">
        <v>45000</v>
      </c>
      <c r="K4" s="39">
        <v>44208</v>
      </c>
      <c r="L4">
        <f>INDEX(G4:K7,MATCH("Karan",G4:G7,0),MATCH("salary",G3:K3,0))</f>
        <v>65000</v>
      </c>
    </row>
    <row r="5" spans="1:12" x14ac:dyDescent="0.25">
      <c r="A5" s="27" t="s">
        <v>34</v>
      </c>
      <c r="B5" s="27">
        <v>25000</v>
      </c>
      <c r="C5" s="27">
        <v>26000</v>
      </c>
      <c r="D5" s="27">
        <v>27000</v>
      </c>
      <c r="G5" s="27" t="s">
        <v>34</v>
      </c>
      <c r="H5" s="27" t="s">
        <v>88</v>
      </c>
      <c r="I5" s="27" t="s">
        <v>89</v>
      </c>
      <c r="J5" s="27">
        <v>52000</v>
      </c>
      <c r="K5" s="39">
        <v>43879</v>
      </c>
    </row>
    <row r="6" spans="1:12" x14ac:dyDescent="0.25">
      <c r="A6" s="27" t="s">
        <v>3</v>
      </c>
      <c r="B6" s="27">
        <v>40000</v>
      </c>
      <c r="C6" s="27">
        <v>42000</v>
      </c>
      <c r="D6" s="27">
        <v>41000</v>
      </c>
      <c r="G6" s="27" t="s">
        <v>3</v>
      </c>
      <c r="H6" s="27" t="s">
        <v>90</v>
      </c>
      <c r="I6" s="27" t="s">
        <v>91</v>
      </c>
      <c r="J6" s="27">
        <v>65000</v>
      </c>
      <c r="K6" s="39">
        <v>44757</v>
      </c>
    </row>
    <row r="7" spans="1:12" ht="30" x14ac:dyDescent="0.25">
      <c r="A7" s="27" t="s">
        <v>4</v>
      </c>
      <c r="B7" s="27">
        <v>35000</v>
      </c>
      <c r="C7" s="27">
        <v>30000</v>
      </c>
      <c r="D7" s="27">
        <v>38000</v>
      </c>
      <c r="G7" s="27" t="s">
        <v>4</v>
      </c>
      <c r="H7" s="27" t="s">
        <v>92</v>
      </c>
      <c r="I7" s="27" t="s">
        <v>93</v>
      </c>
      <c r="J7" s="27">
        <v>48000</v>
      </c>
      <c r="K7" s="39">
        <v>43590</v>
      </c>
    </row>
    <row r="9" spans="1:12" ht="16.5" x14ac:dyDescent="0.25">
      <c r="G9" s="36"/>
    </row>
    <row r="10" spans="1:12" ht="16.5" x14ac:dyDescent="0.25">
      <c r="E10" s="36"/>
      <c r="G10" s="36"/>
    </row>
    <row r="11" spans="1:12" ht="16.5" x14ac:dyDescent="0.25">
      <c r="E11" s="36"/>
      <c r="G11" s="36"/>
    </row>
    <row r="12" spans="1:12" ht="16.5" x14ac:dyDescent="0.25">
      <c r="E12" s="36"/>
      <c r="G12" s="36"/>
    </row>
    <row r="13" spans="1:12" ht="23.25" x14ac:dyDescent="0.35">
      <c r="D13" s="38"/>
      <c r="E13" s="36"/>
      <c r="G13" s="36"/>
    </row>
    <row r="14" spans="1:12" ht="16.5" x14ac:dyDescent="0.25">
      <c r="E14" s="36"/>
      <c r="G14" s="36"/>
    </row>
    <row r="15" spans="1:12" ht="16.5" x14ac:dyDescent="0.25">
      <c r="E15" s="37"/>
      <c r="G15" s="36"/>
    </row>
    <row r="16" spans="1:12" ht="16.5" x14ac:dyDescent="0.25">
      <c r="E16" s="37"/>
      <c r="G16" s="36"/>
    </row>
    <row r="17" spans="5:7" ht="16.5" x14ac:dyDescent="0.25">
      <c r="E17" s="37"/>
      <c r="G17" s="37"/>
    </row>
    <row r="18" spans="5:7" ht="16.5" x14ac:dyDescent="0.25">
      <c r="E18" s="37"/>
      <c r="G18" s="37"/>
    </row>
    <row r="19" spans="5:7" ht="16.5" x14ac:dyDescent="0.25">
      <c r="E19" s="37"/>
      <c r="G19" s="37"/>
    </row>
    <row r="20" spans="5:7" ht="16.5" x14ac:dyDescent="0.25">
      <c r="E20" s="37">
        <v>78</v>
      </c>
      <c r="G20" s="37">
        <v>92</v>
      </c>
    </row>
    <row r="21" spans="5:7" ht="16.5" x14ac:dyDescent="0.25">
      <c r="G21" s="37" t="s">
        <v>81</v>
      </c>
    </row>
    <row r="22" spans="5:7" ht="16.5" x14ac:dyDescent="0.25">
      <c r="G22" s="37">
        <v>78</v>
      </c>
    </row>
  </sheetData>
  <mergeCells count="2">
    <mergeCell ref="A1:E1"/>
    <mergeCell ref="G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9A6EC-6887-4D55-BC46-6E66A9392212}">
  <dimension ref="A1:E18"/>
  <sheetViews>
    <sheetView zoomScale="194" workbookViewId="0">
      <selection activeCell="A4" sqref="A4"/>
    </sheetView>
  </sheetViews>
  <sheetFormatPr defaultRowHeight="15" x14ac:dyDescent="0.25"/>
  <cols>
    <col min="3" max="3" width="17.7109375" bestFit="1" customWidth="1"/>
    <col min="4" max="4" width="15.140625" bestFit="1" customWidth="1"/>
    <col min="5" max="5" width="12.42578125" bestFit="1" customWidth="1"/>
    <col min="6" max="6" width="12.28515625" bestFit="1" customWidth="1"/>
  </cols>
  <sheetData>
    <row r="1" spans="1:5" ht="30" x14ac:dyDescent="0.25">
      <c r="A1" s="1" t="s">
        <v>95</v>
      </c>
      <c r="B1" t="s">
        <v>97</v>
      </c>
      <c r="C1" t="s">
        <v>98</v>
      </c>
      <c r="D1" t="s">
        <v>99</v>
      </c>
      <c r="E1" t="s">
        <v>100</v>
      </c>
    </row>
    <row r="2" spans="1:5" ht="30" x14ac:dyDescent="0.25">
      <c r="A2" s="2" t="s">
        <v>96</v>
      </c>
      <c r="B2" t="str">
        <f>LEFT(A2,5)</f>
        <v>Rahul</v>
      </c>
      <c r="C2" t="str">
        <f>LEFT(A2,FIND(" ",A2)-1)</f>
        <v>Rahul</v>
      </c>
      <c r="D2" t="str">
        <f>UPPER(A2)</f>
        <v>RAHUL SHARMA</v>
      </c>
      <c r="E2" t="str">
        <f>LOWER(A2)</f>
        <v>rahul sharma</v>
      </c>
    </row>
    <row r="3" spans="1:5" x14ac:dyDescent="0.25">
      <c r="A3" s="2"/>
    </row>
    <row r="5" spans="1:5" x14ac:dyDescent="0.25">
      <c r="A5" s="2"/>
    </row>
    <row r="8" spans="1:5" ht="31.5" x14ac:dyDescent="0.25">
      <c r="A8" s="41"/>
    </row>
    <row r="14" spans="1:5" x14ac:dyDescent="0.25">
      <c r="A14" s="1"/>
    </row>
    <row r="15" spans="1:5" x14ac:dyDescent="0.25">
      <c r="A15" s="2"/>
    </row>
    <row r="16" spans="1:5" x14ac:dyDescent="0.25">
      <c r="A16" s="2"/>
    </row>
    <row r="17" spans="1:1" x14ac:dyDescent="0.25">
      <c r="A17" s="2"/>
    </row>
    <row r="18" spans="1:1" x14ac:dyDescent="0.25">
      <c r="A1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9BF9-D603-40E2-9F5A-921041D7D841}">
  <dimension ref="A1:Y16"/>
  <sheetViews>
    <sheetView zoomScale="127" workbookViewId="0">
      <selection activeCell="I6" sqref="I6"/>
    </sheetView>
  </sheetViews>
  <sheetFormatPr defaultRowHeight="15" x14ac:dyDescent="0.25"/>
  <cols>
    <col min="1" max="1" width="13.28515625" customWidth="1"/>
    <col min="2" max="2" width="13.28515625" bestFit="1" customWidth="1"/>
    <col min="3" max="3" width="12.28515625" customWidth="1"/>
    <col min="5" max="6" width="16.28515625" bestFit="1" customWidth="1"/>
  </cols>
  <sheetData>
    <row r="1" spans="1:25" ht="15.75" thickBot="1" x14ac:dyDescent="0.3">
      <c r="A1" s="33" t="s">
        <v>102</v>
      </c>
      <c r="B1" s="33" t="s">
        <v>75</v>
      </c>
      <c r="C1" s="33" t="s">
        <v>51</v>
      </c>
      <c r="D1" s="33" t="s">
        <v>1</v>
      </c>
      <c r="E1" s="33" t="s">
        <v>106</v>
      </c>
      <c r="F1" s="33" t="s">
        <v>107</v>
      </c>
      <c r="G1" s="47" t="s">
        <v>85</v>
      </c>
      <c r="H1" s="45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</row>
    <row r="2" spans="1:25" x14ac:dyDescent="0.25">
      <c r="A2" s="27">
        <v>1001</v>
      </c>
      <c r="B2" s="27" t="s">
        <v>108</v>
      </c>
      <c r="C2" s="27" t="s">
        <v>53</v>
      </c>
      <c r="D2" s="27" t="s">
        <v>56</v>
      </c>
      <c r="E2" s="27">
        <v>75000</v>
      </c>
      <c r="F2" s="46">
        <v>45658</v>
      </c>
      <c r="G2" s="28">
        <v>45000</v>
      </c>
    </row>
    <row r="3" spans="1:25" ht="30" x14ac:dyDescent="0.25">
      <c r="A3" s="27">
        <v>1002</v>
      </c>
      <c r="B3" s="27" t="s">
        <v>109</v>
      </c>
      <c r="C3" s="27" t="s">
        <v>55</v>
      </c>
      <c r="D3" s="27" t="s">
        <v>103</v>
      </c>
      <c r="E3" s="27">
        <v>5200</v>
      </c>
      <c r="F3" s="46">
        <v>45658</v>
      </c>
      <c r="G3" s="28">
        <v>55000</v>
      </c>
    </row>
    <row r="4" spans="1:25" x14ac:dyDescent="0.25">
      <c r="A4" s="27">
        <v>1003</v>
      </c>
      <c r="B4" s="27" t="s">
        <v>110</v>
      </c>
      <c r="C4" s="27" t="s">
        <v>57</v>
      </c>
      <c r="D4" s="27" t="s">
        <v>104</v>
      </c>
      <c r="E4" s="27">
        <v>3200</v>
      </c>
      <c r="F4" s="46">
        <v>45658</v>
      </c>
      <c r="G4" s="28">
        <v>48000</v>
      </c>
    </row>
    <row r="5" spans="1:25" x14ac:dyDescent="0.25">
      <c r="A5" s="27">
        <v>1004</v>
      </c>
      <c r="B5" s="27" t="s">
        <v>111</v>
      </c>
      <c r="C5" s="27" t="s">
        <v>101</v>
      </c>
      <c r="D5" s="27" t="s">
        <v>105</v>
      </c>
      <c r="E5" s="27">
        <v>14500</v>
      </c>
      <c r="F5" s="46">
        <v>45658</v>
      </c>
      <c r="G5" s="28">
        <v>35000</v>
      </c>
    </row>
    <row r="6" spans="1:25" ht="30" x14ac:dyDescent="0.25">
      <c r="A6" s="27">
        <v>1005</v>
      </c>
      <c r="B6" s="27" t="s">
        <v>108</v>
      </c>
      <c r="C6" s="27" t="s">
        <v>53</v>
      </c>
      <c r="D6" s="27" t="s">
        <v>103</v>
      </c>
      <c r="E6" s="27">
        <v>6200</v>
      </c>
      <c r="F6" s="46">
        <v>45689</v>
      </c>
      <c r="G6" s="28">
        <v>89700</v>
      </c>
    </row>
    <row r="7" spans="1:25" x14ac:dyDescent="0.25">
      <c r="A7" s="27">
        <v>1006</v>
      </c>
      <c r="B7" s="27" t="s">
        <v>109</v>
      </c>
      <c r="C7" s="27" t="s">
        <v>55</v>
      </c>
      <c r="D7" s="27" t="s">
        <v>56</v>
      </c>
      <c r="E7" s="27">
        <v>81000</v>
      </c>
      <c r="F7" s="46">
        <v>45689</v>
      </c>
      <c r="G7" s="28">
        <v>75000</v>
      </c>
    </row>
    <row r="8" spans="1:25" x14ac:dyDescent="0.25">
      <c r="A8" s="27">
        <v>1007</v>
      </c>
      <c r="B8" s="27" t="s">
        <v>110</v>
      </c>
      <c r="C8" s="27" t="s">
        <v>57</v>
      </c>
      <c r="D8" s="27" t="s">
        <v>105</v>
      </c>
      <c r="E8" s="27">
        <v>13800</v>
      </c>
      <c r="F8" s="46">
        <v>45689</v>
      </c>
      <c r="G8" s="28">
        <v>69000</v>
      </c>
    </row>
    <row r="9" spans="1:25" x14ac:dyDescent="0.25">
      <c r="A9" s="27">
        <v>1008</v>
      </c>
      <c r="B9" s="27" t="s">
        <v>111</v>
      </c>
      <c r="C9" s="27" t="s">
        <v>101</v>
      </c>
      <c r="D9" s="27" t="s">
        <v>104</v>
      </c>
      <c r="E9" s="27">
        <v>2900</v>
      </c>
      <c r="F9" s="46">
        <v>45689</v>
      </c>
      <c r="G9" s="28">
        <v>32000</v>
      </c>
    </row>
    <row r="10" spans="1:25" x14ac:dyDescent="0.25">
      <c r="A10" s="27">
        <v>1009</v>
      </c>
      <c r="B10" s="27" t="s">
        <v>108</v>
      </c>
      <c r="C10" s="27" t="s">
        <v>53</v>
      </c>
      <c r="D10" s="27" t="s">
        <v>105</v>
      </c>
      <c r="E10" s="27">
        <v>15700</v>
      </c>
      <c r="F10" s="46">
        <v>45717</v>
      </c>
      <c r="G10" s="28">
        <v>60000</v>
      </c>
    </row>
    <row r="11" spans="1:25" x14ac:dyDescent="0.25">
      <c r="A11" s="27">
        <v>1010</v>
      </c>
      <c r="B11" s="27" t="s">
        <v>109</v>
      </c>
      <c r="C11" s="27" t="s">
        <v>55</v>
      </c>
      <c r="D11" s="27" t="s">
        <v>104</v>
      </c>
      <c r="E11" s="27">
        <v>3100</v>
      </c>
      <c r="F11" s="46">
        <v>45717</v>
      </c>
      <c r="G11" s="28">
        <v>80000</v>
      </c>
    </row>
    <row r="14" spans="1:25" x14ac:dyDescent="0.25">
      <c r="A14" s="73" t="s">
        <v>112</v>
      </c>
      <c r="B14" s="73"/>
      <c r="C14" s="73"/>
      <c r="E14" s="74" t="s">
        <v>115</v>
      </c>
      <c r="F14" s="74"/>
    </row>
    <row r="15" spans="1:25" x14ac:dyDescent="0.25">
      <c r="A15" s="44" t="s">
        <v>0</v>
      </c>
      <c r="B15" s="44" t="s">
        <v>107</v>
      </c>
      <c r="C15" s="44" t="s">
        <v>52</v>
      </c>
      <c r="E15" s="44" t="s">
        <v>114</v>
      </c>
      <c r="F15" s="44" t="s">
        <v>113</v>
      </c>
    </row>
    <row r="16" spans="1:25" x14ac:dyDescent="0.25">
      <c r="A16" t="s">
        <v>108</v>
      </c>
      <c r="B16" s="43">
        <v>45689</v>
      </c>
      <c r="C16" cm="1">
        <f t="array" ref="C16">_xlfn.XLOOKUP(1,(B2:B11=A16)*(F2:F11=B16),E2:E11,"Not found")</f>
        <v>6200</v>
      </c>
      <c r="E16">
        <v>1010</v>
      </c>
      <c r="F16">
        <f>_xlfn.XLOOKUP(E16,A2:A11,G2:G11,"-")</f>
        <v>80000</v>
      </c>
    </row>
  </sheetData>
  <mergeCells count="2">
    <mergeCell ref="A14:C14"/>
    <mergeCell ref="E14:F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9EAD3-0037-4C51-B3C3-24375B286BB6}">
  <dimension ref="A1:G16"/>
  <sheetViews>
    <sheetView zoomScale="160" workbookViewId="0">
      <selection activeCell="B17" sqref="B17"/>
    </sheetView>
  </sheetViews>
  <sheetFormatPr defaultRowHeight="15" x14ac:dyDescent="0.25"/>
  <sheetData>
    <row r="1" spans="1:7" ht="30" x14ac:dyDescent="0.25">
      <c r="A1" s="33" t="s">
        <v>102</v>
      </c>
      <c r="B1" s="33" t="s">
        <v>75</v>
      </c>
      <c r="C1" s="33" t="s">
        <v>51</v>
      </c>
      <c r="D1" s="33" t="s">
        <v>1</v>
      </c>
      <c r="E1" s="33" t="s">
        <v>106</v>
      </c>
      <c r="F1" s="33" t="s">
        <v>107</v>
      </c>
      <c r="G1" s="47" t="s">
        <v>85</v>
      </c>
    </row>
    <row r="2" spans="1:7" x14ac:dyDescent="0.25">
      <c r="A2" s="27">
        <v>1001</v>
      </c>
      <c r="B2" s="27" t="s">
        <v>108</v>
      </c>
      <c r="C2" s="27" t="s">
        <v>53</v>
      </c>
      <c r="D2" s="27" t="s">
        <v>56</v>
      </c>
      <c r="E2" s="27">
        <v>75000</v>
      </c>
      <c r="F2" s="46">
        <v>45658</v>
      </c>
      <c r="G2" s="28">
        <v>45000</v>
      </c>
    </row>
    <row r="3" spans="1:7" ht="30" x14ac:dyDescent="0.25">
      <c r="A3" s="27">
        <v>1002</v>
      </c>
      <c r="B3" s="27" t="s">
        <v>109</v>
      </c>
      <c r="C3" s="27" t="s">
        <v>55</v>
      </c>
      <c r="D3" s="27" t="s">
        <v>103</v>
      </c>
      <c r="E3" s="27">
        <v>5200</v>
      </c>
      <c r="F3" s="46">
        <v>45658</v>
      </c>
      <c r="G3" s="28">
        <v>55000</v>
      </c>
    </row>
    <row r="4" spans="1:7" x14ac:dyDescent="0.25">
      <c r="A4" s="27">
        <v>1003</v>
      </c>
      <c r="B4" s="27" t="s">
        <v>110</v>
      </c>
      <c r="C4" s="27" t="s">
        <v>57</v>
      </c>
      <c r="D4" s="27" t="s">
        <v>104</v>
      </c>
      <c r="E4" s="27">
        <v>3200</v>
      </c>
      <c r="F4" s="46">
        <v>45658</v>
      </c>
      <c r="G4" s="28">
        <v>48000</v>
      </c>
    </row>
    <row r="5" spans="1:7" x14ac:dyDescent="0.25">
      <c r="A5" s="27">
        <v>1004</v>
      </c>
      <c r="B5" s="27" t="s">
        <v>111</v>
      </c>
      <c r="C5" s="27" t="s">
        <v>101</v>
      </c>
      <c r="D5" s="27" t="s">
        <v>105</v>
      </c>
      <c r="E5" s="27">
        <v>14500</v>
      </c>
      <c r="F5" s="46">
        <v>45658</v>
      </c>
      <c r="G5" s="28">
        <v>35000</v>
      </c>
    </row>
    <row r="6" spans="1:7" ht="30" x14ac:dyDescent="0.25">
      <c r="A6" s="27">
        <v>1005</v>
      </c>
      <c r="B6" s="27" t="s">
        <v>108</v>
      </c>
      <c r="C6" s="27" t="s">
        <v>53</v>
      </c>
      <c r="D6" s="27" t="s">
        <v>103</v>
      </c>
      <c r="E6" s="27">
        <v>6200</v>
      </c>
      <c r="F6" s="46">
        <v>45689</v>
      </c>
      <c r="G6" s="28">
        <v>89700</v>
      </c>
    </row>
    <row r="7" spans="1:7" x14ac:dyDescent="0.25">
      <c r="A7" s="27">
        <v>1006</v>
      </c>
      <c r="B7" s="27" t="s">
        <v>109</v>
      </c>
      <c r="C7" s="27" t="s">
        <v>55</v>
      </c>
      <c r="D7" s="27" t="s">
        <v>56</v>
      </c>
      <c r="E7" s="27">
        <v>81000</v>
      </c>
      <c r="F7" s="46">
        <v>45689</v>
      </c>
      <c r="G7" s="28">
        <v>75000</v>
      </c>
    </row>
    <row r="8" spans="1:7" x14ac:dyDescent="0.25">
      <c r="A8" s="27">
        <v>1007</v>
      </c>
      <c r="B8" s="27" t="s">
        <v>110</v>
      </c>
      <c r="C8" s="27" t="s">
        <v>57</v>
      </c>
      <c r="D8" s="27" t="s">
        <v>105</v>
      </c>
      <c r="E8" s="27">
        <v>13800</v>
      </c>
      <c r="F8" s="46">
        <v>45689</v>
      </c>
      <c r="G8" s="28">
        <v>69000</v>
      </c>
    </row>
    <row r="9" spans="1:7" x14ac:dyDescent="0.25">
      <c r="A9" s="27"/>
      <c r="B9" s="27" t="s">
        <v>111</v>
      </c>
      <c r="C9" s="27" t="s">
        <v>101</v>
      </c>
      <c r="D9" s="27" t="s">
        <v>104</v>
      </c>
      <c r="E9" s="27">
        <v>2900</v>
      </c>
      <c r="F9" s="46">
        <v>45689</v>
      </c>
      <c r="G9" s="28">
        <v>32000</v>
      </c>
    </row>
    <row r="10" spans="1:7" x14ac:dyDescent="0.25">
      <c r="A10" s="27">
        <v>1009</v>
      </c>
      <c r="B10" s="27" t="s">
        <v>108</v>
      </c>
      <c r="C10" s="27" t="s">
        <v>53</v>
      </c>
      <c r="D10" s="27" t="s">
        <v>105</v>
      </c>
      <c r="E10" s="27">
        <v>15700</v>
      </c>
      <c r="F10" s="46">
        <v>45717</v>
      </c>
      <c r="G10" s="28">
        <v>60000</v>
      </c>
    </row>
    <row r="11" spans="1:7" x14ac:dyDescent="0.25">
      <c r="A11" s="27">
        <v>1010</v>
      </c>
      <c r="B11" s="27" t="s">
        <v>109</v>
      </c>
      <c r="C11" s="27" t="s">
        <v>55</v>
      </c>
      <c r="D11" s="27" t="s">
        <v>104</v>
      </c>
      <c r="E11" s="27">
        <v>3100</v>
      </c>
      <c r="F11" s="46">
        <v>45717</v>
      </c>
      <c r="G11" s="28">
        <v>80000</v>
      </c>
    </row>
    <row r="14" spans="1:7" x14ac:dyDescent="0.25">
      <c r="A14" s="72" t="s">
        <v>118</v>
      </c>
      <c r="B14" s="72"/>
      <c r="C14" s="72"/>
      <c r="D14" s="72"/>
    </row>
    <row r="15" spans="1:7" x14ac:dyDescent="0.25">
      <c r="B15" s="48" t="s">
        <v>117</v>
      </c>
      <c r="C15" s="48" t="s">
        <v>116</v>
      </c>
    </row>
    <row r="16" spans="1:7" x14ac:dyDescent="0.25">
      <c r="B16" s="28" t="s">
        <v>119</v>
      </c>
      <c r="C16" s="28">
        <f>_xlfn.XMATCH(B16,D2:D11,0)</f>
        <v>2</v>
      </c>
    </row>
  </sheetData>
  <mergeCells count="1">
    <mergeCell ref="A14:D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0EDAE-46D9-436A-B997-B66DEBE1365A}">
  <dimension ref="A1:E7"/>
  <sheetViews>
    <sheetView zoomScale="156" workbookViewId="0">
      <selection activeCell="B7" sqref="B7"/>
    </sheetView>
  </sheetViews>
  <sheetFormatPr defaultRowHeight="15" x14ac:dyDescent="0.25"/>
  <cols>
    <col min="1" max="1" width="11.140625" bestFit="1" customWidth="1"/>
  </cols>
  <sheetData>
    <row r="1" spans="1:5" x14ac:dyDescent="0.25">
      <c r="A1" s="50" t="s">
        <v>120</v>
      </c>
      <c r="C1">
        <v>10</v>
      </c>
    </row>
    <row r="2" spans="1:5" x14ac:dyDescent="0.25">
      <c r="A2" s="49" t="s">
        <v>121</v>
      </c>
      <c r="B2" s="1"/>
      <c r="C2">
        <v>20</v>
      </c>
    </row>
    <row r="3" spans="1:5" x14ac:dyDescent="0.25">
      <c r="A3" s="2"/>
      <c r="B3" s="2"/>
      <c r="C3">
        <v>30</v>
      </c>
    </row>
    <row r="4" spans="1:5" x14ac:dyDescent="0.25">
      <c r="A4" s="2"/>
      <c r="B4" s="2"/>
    </row>
    <row r="6" spans="1:5" x14ac:dyDescent="0.25">
      <c r="A6" s="75" t="s">
        <v>122</v>
      </c>
      <c r="B6" s="75"/>
      <c r="C6" s="75"/>
      <c r="D6" s="75"/>
      <c r="E6" s="75"/>
    </row>
    <row r="7" spans="1:5" x14ac:dyDescent="0.25">
      <c r="B7">
        <f ca="1">SUM(INDIRECT(A1 &amp; ":" &amp; A2))</f>
        <v>50</v>
      </c>
    </row>
  </sheetData>
  <mergeCells count="1">
    <mergeCell ref="A6:E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7B021-A9C9-4DAA-A4A9-F68D7B975088}">
  <dimension ref="A1:F14"/>
  <sheetViews>
    <sheetView zoomScale="144" workbookViewId="0">
      <selection activeCell="D3" sqref="D3"/>
    </sheetView>
  </sheetViews>
  <sheetFormatPr defaultRowHeight="15" x14ac:dyDescent="0.25"/>
  <cols>
    <col min="3" max="3" width="9.7109375" bestFit="1" customWidth="1"/>
  </cols>
  <sheetData>
    <row r="1" spans="1:6" x14ac:dyDescent="0.25">
      <c r="A1" s="33" t="s">
        <v>107</v>
      </c>
      <c r="B1" s="33" t="s">
        <v>52</v>
      </c>
      <c r="C1" s="51" t="s">
        <v>126</v>
      </c>
    </row>
    <row r="2" spans="1:6" x14ac:dyDescent="0.25">
      <c r="A2" s="27" t="s">
        <v>76</v>
      </c>
      <c r="B2" s="27">
        <v>12000</v>
      </c>
      <c r="C2">
        <f ca="1">SUM(OFFSET(B1,COUNTA(B:B)-3,0,3,1))</f>
        <v>70000</v>
      </c>
      <c r="E2" s="1"/>
      <c r="F2" s="1"/>
    </row>
    <row r="3" spans="1:6" x14ac:dyDescent="0.25">
      <c r="A3" s="27" t="s">
        <v>77</v>
      </c>
      <c r="B3" s="27">
        <v>15000</v>
      </c>
      <c r="E3" s="2"/>
      <c r="F3" s="2"/>
    </row>
    <row r="4" spans="1:6" x14ac:dyDescent="0.25">
      <c r="A4" s="27" t="s">
        <v>78</v>
      </c>
      <c r="B4" s="27">
        <v>18000</v>
      </c>
      <c r="E4" s="2"/>
      <c r="F4" s="2"/>
    </row>
    <row r="5" spans="1:6" x14ac:dyDescent="0.25">
      <c r="A5" s="27" t="s">
        <v>123</v>
      </c>
      <c r="B5" s="27">
        <v>16000</v>
      </c>
      <c r="E5" s="2"/>
      <c r="F5" s="2"/>
    </row>
    <row r="6" spans="1:6" x14ac:dyDescent="0.25">
      <c r="A6" s="27" t="s">
        <v>124</v>
      </c>
      <c r="B6" s="27">
        <v>20000</v>
      </c>
      <c r="E6" s="2"/>
      <c r="F6" s="2"/>
    </row>
    <row r="7" spans="1:6" x14ac:dyDescent="0.25">
      <c r="A7" s="27" t="s">
        <v>125</v>
      </c>
      <c r="B7" s="27">
        <v>22000</v>
      </c>
      <c r="E7" s="2"/>
      <c r="F7" s="2"/>
    </row>
    <row r="8" spans="1:6" x14ac:dyDescent="0.25">
      <c r="A8" s="20" t="s">
        <v>127</v>
      </c>
      <c r="B8" s="20">
        <v>28000</v>
      </c>
      <c r="E8" s="2"/>
      <c r="F8" s="2"/>
    </row>
    <row r="9" spans="1:6" x14ac:dyDescent="0.25">
      <c r="A9" s="49"/>
      <c r="B9" s="49"/>
    </row>
    <row r="10" spans="1:6" x14ac:dyDescent="0.25">
      <c r="A10" s="49"/>
      <c r="B10" s="49"/>
    </row>
    <row r="11" spans="1:6" x14ac:dyDescent="0.25">
      <c r="A11" s="49"/>
      <c r="B11" s="49"/>
    </row>
    <row r="12" spans="1:6" x14ac:dyDescent="0.25">
      <c r="A12" s="49"/>
      <c r="B12" s="49"/>
    </row>
    <row r="13" spans="1:6" x14ac:dyDescent="0.25">
      <c r="A13" s="49"/>
      <c r="B13" s="49"/>
    </row>
    <row r="14" spans="1:6" x14ac:dyDescent="0.25">
      <c r="A14" s="49"/>
      <c r="B14" s="4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9082-A7F9-49C2-8BAA-B7907A0814F4}">
  <dimension ref="A1:E8"/>
  <sheetViews>
    <sheetView zoomScale="145" workbookViewId="0">
      <selection activeCell="C3" sqref="C3"/>
    </sheetView>
  </sheetViews>
  <sheetFormatPr defaultRowHeight="15" x14ac:dyDescent="0.25"/>
  <cols>
    <col min="2" max="2" width="11.140625" bestFit="1" customWidth="1"/>
    <col min="3" max="3" width="13.85546875" customWidth="1"/>
    <col min="4" max="4" width="14.5703125" customWidth="1"/>
    <col min="5" max="5" width="25.140625" bestFit="1" customWidth="1"/>
  </cols>
  <sheetData>
    <row r="1" spans="1:5" ht="75" x14ac:dyDescent="0.25">
      <c r="A1" s="25" t="s">
        <v>0</v>
      </c>
      <c r="B1" s="25" t="s">
        <v>128</v>
      </c>
      <c r="C1" s="25" t="s">
        <v>129</v>
      </c>
      <c r="D1" s="52" t="s">
        <v>134</v>
      </c>
      <c r="E1" s="54" t="s">
        <v>135</v>
      </c>
    </row>
    <row r="2" spans="1:5" x14ac:dyDescent="0.25">
      <c r="A2" s="27" t="s">
        <v>130</v>
      </c>
      <c r="B2" s="53">
        <v>39007</v>
      </c>
      <c r="C2" s="53">
        <f>DATE(YEAR(B2)+18,4,1)</f>
        <v>45383</v>
      </c>
      <c r="D2" s="53" t="str">
        <f ca="1">DATEDIF(B2,TODAY(),"Y")&amp;" Years "&amp;
DATEDIF(B2,TODAY(),"YM")&amp;" Months "&amp;
DATEDIF(B2,TODAY(),"MD")&amp;" Days"</f>
        <v>19 Years 1 Months 1 Days</v>
      </c>
      <c r="E2" t="str">
        <f>DATEDIF(B2, C2, "Y") &amp; " Years " &amp;
DATEDIF(B2, C2, "YM") &amp; " Months " &amp;
DATEDIF(B2, C2, "MD") &amp; " Days"</f>
        <v>17 Years 5 Months 15 Days</v>
      </c>
    </row>
    <row r="3" spans="1:5" ht="30" x14ac:dyDescent="0.25">
      <c r="A3" s="27" t="s">
        <v>131</v>
      </c>
      <c r="B3" s="53">
        <v>36022</v>
      </c>
      <c r="C3" s="53">
        <f>DATE(YEAR(B3)+18,4,1)</f>
        <v>42461</v>
      </c>
      <c r="D3" s="53" t="str">
        <f t="shared" ref="D3:D5" ca="1" si="0">DATEDIF(B3,TODAY(),"Y")&amp;" Years "&amp;
DATEDIF(B3,TODAY(),"YM")&amp;" Months "&amp;
DATEDIF(B3,TODAY(),"MD")&amp;" Days"</f>
        <v>27 Years 3 Months 3 Days</v>
      </c>
      <c r="E3" t="str">
        <f t="shared" ref="E3:E5" si="1">DATEDIF(B3, C3, "Y") &amp; " Years " &amp;
DATEDIF(B3, C3, "YM") &amp; " Months " &amp;
DATEDIF(B3, C3, "MD") &amp; " Days"</f>
        <v>17 Years 7 Months 17 Days</v>
      </c>
    </row>
    <row r="4" spans="1:5" ht="30" x14ac:dyDescent="0.25">
      <c r="A4" s="27" t="s">
        <v>132</v>
      </c>
      <c r="B4" s="53">
        <v>33093</v>
      </c>
      <c r="C4" s="53">
        <f t="shared" ref="C4:C5" si="2">DATE(YEAR(B4)+18,4,1)</f>
        <v>39539</v>
      </c>
      <c r="D4" s="53" t="str">
        <f t="shared" ca="1" si="0"/>
        <v>35 Years 3 Months 10 Days</v>
      </c>
      <c r="E4" t="str">
        <f t="shared" si="1"/>
        <v>17 Years 7 Months 24 Days</v>
      </c>
    </row>
    <row r="5" spans="1:5" ht="30" x14ac:dyDescent="0.25">
      <c r="A5" s="27" t="s">
        <v>133</v>
      </c>
      <c r="B5" s="53">
        <v>32634</v>
      </c>
      <c r="C5" s="53">
        <f t="shared" si="2"/>
        <v>39173</v>
      </c>
      <c r="D5" s="53" t="str">
        <f t="shared" ca="1" si="0"/>
        <v>36 Years 6 Months 12 Days</v>
      </c>
      <c r="E5" t="str">
        <f t="shared" si="1"/>
        <v>17 Years 10 Months 26 Days</v>
      </c>
    </row>
    <row r="6" spans="1:5" x14ac:dyDescent="0.25">
      <c r="A6" s="27"/>
      <c r="B6" s="27"/>
      <c r="C6" s="28"/>
      <c r="D6" s="28"/>
    </row>
    <row r="7" spans="1:5" x14ac:dyDescent="0.25">
      <c r="A7" s="2"/>
      <c r="B7" s="2"/>
    </row>
    <row r="8" spans="1:5" x14ac:dyDescent="0.25">
      <c r="A8" s="2"/>
      <c r="B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431C-7243-4FED-A7AE-2AB766E0A6FA}">
  <dimension ref="A1:H25"/>
  <sheetViews>
    <sheetView topLeftCell="A2" zoomScale="160" zoomScaleNormal="160" workbookViewId="0">
      <selection activeCell="E18" sqref="E18"/>
    </sheetView>
  </sheetViews>
  <sheetFormatPr defaultRowHeight="15" x14ac:dyDescent="0.25"/>
  <sheetData>
    <row r="1" spans="1:8" ht="45" x14ac:dyDescent="0.25">
      <c r="A1" s="1" t="s">
        <v>136</v>
      </c>
      <c r="B1" s="1" t="s">
        <v>69</v>
      </c>
      <c r="C1" s="1" t="s">
        <v>137</v>
      </c>
      <c r="D1" s="1" t="s">
        <v>16</v>
      </c>
      <c r="E1" s="1" t="s">
        <v>27</v>
      </c>
      <c r="F1" s="1" t="s">
        <v>138</v>
      </c>
    </row>
    <row r="2" spans="1:8" x14ac:dyDescent="0.25">
      <c r="A2" s="2" t="s">
        <v>70</v>
      </c>
      <c r="B2" s="2" t="s">
        <v>56</v>
      </c>
      <c r="C2" s="2">
        <v>75498.67</v>
      </c>
      <c r="D2" s="55">
        <v>8.5000000000000006E-2</v>
      </c>
      <c r="E2" s="4">
        <v>0.18</v>
      </c>
      <c r="F2" s="2">
        <v>81245.334000000003</v>
      </c>
    </row>
    <row r="3" spans="1:8" x14ac:dyDescent="0.25">
      <c r="A3" s="2" t="s">
        <v>71</v>
      </c>
      <c r="B3" s="2" t="s">
        <v>104</v>
      </c>
      <c r="C3" s="2">
        <v>389.49</v>
      </c>
      <c r="D3" s="4">
        <v>0.05</v>
      </c>
      <c r="E3" s="4">
        <v>0.18</v>
      </c>
      <c r="F3" s="2">
        <v>435.58100000000002</v>
      </c>
    </row>
    <row r="4" spans="1:8" x14ac:dyDescent="0.25">
      <c r="A4" s="2" t="s">
        <v>72</v>
      </c>
      <c r="B4" s="2" t="s">
        <v>105</v>
      </c>
      <c r="C4" s="2">
        <v>11456.98</v>
      </c>
      <c r="D4" s="4">
        <v>0.12</v>
      </c>
      <c r="E4" s="4">
        <v>0.18</v>
      </c>
      <c r="F4" s="2">
        <v>12833.781000000001</v>
      </c>
    </row>
    <row r="5" spans="1:8" ht="30" x14ac:dyDescent="0.25">
      <c r="A5" s="2" t="s">
        <v>139</v>
      </c>
      <c r="B5" s="2" t="s">
        <v>103</v>
      </c>
      <c r="C5" s="2">
        <v>1299.8800000000001</v>
      </c>
      <c r="D5" s="4">
        <v>7.0000000000000007E-2</v>
      </c>
      <c r="E5" s="4">
        <v>0.18</v>
      </c>
      <c r="F5" s="2">
        <v>1460.854</v>
      </c>
    </row>
    <row r="6" spans="1:8" x14ac:dyDescent="0.25">
      <c r="A6" s="2" t="s">
        <v>140</v>
      </c>
      <c r="B6" s="2" t="s">
        <v>141</v>
      </c>
      <c r="C6" s="2">
        <v>18456.39</v>
      </c>
      <c r="D6" s="4">
        <v>0.1</v>
      </c>
      <c r="E6" s="4">
        <v>0.18</v>
      </c>
      <c r="F6" s="2">
        <v>20725.5</v>
      </c>
    </row>
    <row r="9" spans="1:8" x14ac:dyDescent="0.25">
      <c r="A9" s="62" t="s">
        <v>142</v>
      </c>
      <c r="B9" s="62"/>
      <c r="C9" s="57"/>
      <c r="D9" s="71" t="s">
        <v>143</v>
      </c>
      <c r="E9" s="71"/>
      <c r="F9" s="57"/>
      <c r="G9" s="76" t="s">
        <v>144</v>
      </c>
      <c r="H9" s="76"/>
    </row>
    <row r="10" spans="1:8" x14ac:dyDescent="0.25">
      <c r="C10" s="57"/>
      <c r="F10" s="57"/>
    </row>
    <row r="11" spans="1:8" x14ac:dyDescent="0.25">
      <c r="A11">
        <f>ROUND(F2,0)</f>
        <v>81245</v>
      </c>
      <c r="C11" s="57"/>
      <c r="D11">
        <f>CEILING(C2,50)</f>
        <v>75500</v>
      </c>
      <c r="F11" s="57"/>
      <c r="G11">
        <f>FLOOR(C2,5)</f>
        <v>75495</v>
      </c>
    </row>
    <row r="12" spans="1:8" x14ac:dyDescent="0.25">
      <c r="A12">
        <f t="shared" ref="A12:A15" si="0">ROUND(F3,0)</f>
        <v>436</v>
      </c>
      <c r="C12" s="57"/>
      <c r="D12">
        <f t="shared" ref="D12:D15" si="1">CEILING(C3,50)</f>
        <v>400</v>
      </c>
      <c r="F12" s="57"/>
      <c r="G12">
        <f t="shared" ref="G12:G15" si="2">FLOOR(C3,5)</f>
        <v>385</v>
      </c>
    </row>
    <row r="13" spans="1:8" x14ac:dyDescent="0.25">
      <c r="A13">
        <f t="shared" si="0"/>
        <v>12834</v>
      </c>
      <c r="C13" s="57"/>
      <c r="D13">
        <f t="shared" si="1"/>
        <v>11500</v>
      </c>
      <c r="F13" s="57"/>
      <c r="G13">
        <f t="shared" si="2"/>
        <v>11455</v>
      </c>
    </row>
    <row r="14" spans="1:8" x14ac:dyDescent="0.25">
      <c r="A14">
        <f t="shared" si="0"/>
        <v>1461</v>
      </c>
      <c r="C14" s="57"/>
      <c r="D14">
        <f t="shared" si="1"/>
        <v>1300</v>
      </c>
      <c r="F14" s="57"/>
      <c r="G14">
        <f t="shared" si="2"/>
        <v>1295</v>
      </c>
    </row>
    <row r="15" spans="1:8" x14ac:dyDescent="0.25">
      <c r="A15">
        <f t="shared" si="0"/>
        <v>20726</v>
      </c>
      <c r="C15" s="57"/>
      <c r="D15">
        <f t="shared" si="1"/>
        <v>18500</v>
      </c>
      <c r="F15" s="57"/>
      <c r="G15">
        <f t="shared" si="2"/>
        <v>18455</v>
      </c>
    </row>
    <row r="16" spans="1:8" x14ac:dyDescent="0.25">
      <c r="C16" s="57"/>
      <c r="F16" s="57"/>
    </row>
    <row r="17" spans="3:6" x14ac:dyDescent="0.25">
      <c r="C17" s="57"/>
      <c r="F17" s="57"/>
    </row>
    <row r="18" spans="3:6" x14ac:dyDescent="0.25">
      <c r="C18" s="57"/>
      <c r="F18" s="57"/>
    </row>
    <row r="19" spans="3:6" x14ac:dyDescent="0.25">
      <c r="C19" s="57"/>
      <c r="F19" s="57"/>
    </row>
    <row r="20" spans="3:6" x14ac:dyDescent="0.25">
      <c r="C20" s="57"/>
      <c r="F20" s="57"/>
    </row>
    <row r="21" spans="3:6" x14ac:dyDescent="0.25">
      <c r="C21" s="57"/>
    </row>
    <row r="22" spans="3:6" x14ac:dyDescent="0.25">
      <c r="C22" s="57"/>
    </row>
    <row r="23" spans="3:6" x14ac:dyDescent="0.25">
      <c r="C23" s="57"/>
    </row>
    <row r="24" spans="3:6" x14ac:dyDescent="0.25">
      <c r="C24" s="57"/>
    </row>
    <row r="25" spans="3:6" x14ac:dyDescent="0.25">
      <c r="C25" s="57"/>
    </row>
  </sheetData>
  <mergeCells count="6">
    <mergeCell ref="A9:B9"/>
    <mergeCell ref="D9:E9"/>
    <mergeCell ref="G9:H9"/>
    <mergeCell ref="C9:C18"/>
    <mergeCell ref="F9:F20"/>
    <mergeCell ref="C19:C2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085E7-0BE9-4C2D-A434-6EEC56FCAB3C}">
  <dimension ref="A1:E9"/>
  <sheetViews>
    <sheetView tabSelected="1" zoomScale="145" workbookViewId="0">
      <selection activeCell="E15" sqref="E15"/>
    </sheetView>
  </sheetViews>
  <sheetFormatPr defaultRowHeight="15" x14ac:dyDescent="0.25"/>
  <cols>
    <col min="5" max="5" width="19.42578125" customWidth="1"/>
  </cols>
  <sheetData>
    <row r="1" spans="1:5" ht="45" x14ac:dyDescent="0.25">
      <c r="A1" s="77" t="s">
        <v>39</v>
      </c>
      <c r="B1" s="77" t="s">
        <v>40</v>
      </c>
      <c r="C1" s="77" t="s">
        <v>41</v>
      </c>
      <c r="D1" s="77" t="s">
        <v>6</v>
      </c>
      <c r="E1" s="78" t="s">
        <v>152</v>
      </c>
    </row>
    <row r="2" spans="1:5" x14ac:dyDescent="0.25">
      <c r="A2" s="20" t="s">
        <v>145</v>
      </c>
      <c r="B2" s="20">
        <v>88</v>
      </c>
      <c r="C2" s="20">
        <v>92</v>
      </c>
      <c r="D2" s="20">
        <v>180</v>
      </c>
      <c r="E2" t="str" cm="1">
        <f t="array" ref="E2:E5">_xlfn._xlws.FILTER(A2:A9,D2:D9&gt;170,"-")</f>
        <v>Aditi</v>
      </c>
    </row>
    <row r="3" spans="1:5" x14ac:dyDescent="0.25">
      <c r="A3" s="20" t="s">
        <v>146</v>
      </c>
      <c r="B3" s="20">
        <v>76</v>
      </c>
      <c r="C3" s="20">
        <v>65</v>
      </c>
      <c r="D3" s="20">
        <v>141</v>
      </c>
      <c r="E3" t="str">
        <v>Meera</v>
      </c>
    </row>
    <row r="4" spans="1:5" x14ac:dyDescent="0.25">
      <c r="A4" s="20" t="s">
        <v>147</v>
      </c>
      <c r="B4" s="20">
        <v>95</v>
      </c>
      <c r="C4" s="20">
        <v>90</v>
      </c>
      <c r="D4" s="20">
        <v>185</v>
      </c>
      <c r="E4" t="str">
        <v>Tarun</v>
      </c>
    </row>
    <row r="5" spans="1:5" x14ac:dyDescent="0.25">
      <c r="A5" s="20" t="s">
        <v>148</v>
      </c>
      <c r="B5" s="20">
        <v>55</v>
      </c>
      <c r="C5" s="20">
        <v>60</v>
      </c>
      <c r="D5" s="20">
        <v>115</v>
      </c>
      <c r="E5" t="str">
        <v>Arjun</v>
      </c>
    </row>
    <row r="6" spans="1:5" x14ac:dyDescent="0.25">
      <c r="A6" s="20" t="s">
        <v>149</v>
      </c>
      <c r="B6" s="20">
        <v>82</v>
      </c>
      <c r="C6" s="20">
        <v>75</v>
      </c>
      <c r="D6" s="20">
        <v>157</v>
      </c>
    </row>
    <row r="7" spans="1:5" x14ac:dyDescent="0.25">
      <c r="A7" s="20" t="s">
        <v>150</v>
      </c>
      <c r="B7" s="20">
        <v>91</v>
      </c>
      <c r="C7" s="20">
        <v>88</v>
      </c>
      <c r="D7" s="20">
        <v>179</v>
      </c>
    </row>
    <row r="8" spans="1:5" x14ac:dyDescent="0.25">
      <c r="A8" s="20" t="s">
        <v>49</v>
      </c>
      <c r="B8" s="20">
        <v>45</v>
      </c>
      <c r="C8" s="20">
        <v>55</v>
      </c>
      <c r="D8" s="20">
        <v>100</v>
      </c>
    </row>
    <row r="9" spans="1:5" x14ac:dyDescent="0.25">
      <c r="A9" s="20" t="s">
        <v>151</v>
      </c>
      <c r="B9" s="20">
        <v>89</v>
      </c>
      <c r="C9" s="20">
        <v>94</v>
      </c>
      <c r="D9" s="20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Cell Refrence-Data </vt:lpstr>
      <vt:lpstr>Cell Reference</vt:lpstr>
      <vt:lpstr>If Fomula &amp; Nested If</vt:lpstr>
      <vt:lpstr>If&amp;And,Or</vt:lpstr>
      <vt:lpstr>IFS(count,sum,avg)</vt:lpstr>
      <vt:lpstr>Vloolup</vt:lpstr>
      <vt:lpstr>Index&amp;Match</vt:lpstr>
      <vt:lpstr>Text Function</vt:lpstr>
      <vt:lpstr>Xlookup Function </vt:lpstr>
      <vt:lpstr>Xmatch</vt:lpstr>
      <vt:lpstr>Indirect Function </vt:lpstr>
      <vt:lpstr>Offset Function</vt:lpstr>
      <vt:lpstr>Date and Time Function</vt:lpstr>
      <vt:lpstr>Math Function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bhaktijw1012@outlook.com</dc:creator>
  <cp:lastModifiedBy>bhaktijw1012@outlook.com</cp:lastModifiedBy>
  <dcterms:created xsi:type="dcterms:W3CDTF">2025-11-12T12:03:34Z</dcterms:created>
  <dcterms:modified xsi:type="dcterms:W3CDTF">2025-11-17T23:55:30Z</dcterms:modified>
</cp:coreProperties>
</file>